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15" codeName="{00000000-0000-0000-0000-000000000000}"/>
  <workbookPr codeName="ThisWorkbook" defaultThemeVersion="124226"/>
  <xr:revisionPtr revIDLastSave="0" documentId="11_0D7D9FA68168931335E35E8B29BF80C75A298C98" xr6:coauthVersionLast="47" xr6:coauthVersionMax="47" xr10:uidLastSave="{00000000-0000-0000-0000-000000000000}"/>
  <bookViews>
    <workbookView xWindow="-1995" yWindow="60" windowWidth="20190" windowHeight="11055" xr2:uid="{00000000-000D-0000-FFFF-FFFF00000000}"/>
  </bookViews>
  <sheets>
    <sheet name="1" sheetId="1" r:id="rId1"/>
  </sheets>
  <definedNames>
    <definedName name="g">'1'!$V$13</definedName>
    <definedName name="OMax">'1'!$V$12*PI()/180</definedName>
    <definedName name="p10Len">'1'!$B$28</definedName>
    <definedName name="p10tz">(9)*Spacing*{1;1}</definedName>
    <definedName name="p10x">p10Len*SIN(OMax*SIN(SQRT(g/p10Len)*t))*{0;1}</definedName>
    <definedName name="p10y">-p10Len*COS(OMax*SIN(SQRT(g/p10Len)*t))*{0;1}</definedName>
    <definedName name="p11Len">'1'!$B$29</definedName>
    <definedName name="p11tz">(10)*Spacing*{1;1}</definedName>
    <definedName name="p11x">p11Len*SIN(OMax*SIN(SQRT(g/p11Len)*t))*{0;1}</definedName>
    <definedName name="p11y">-p11Len*COS(OMax*SIN(SQRT(g/p11Len)*t))*{0;1}</definedName>
    <definedName name="p12Len">'1'!$B$30</definedName>
    <definedName name="p12tz">(11)*Spacing*{1;1}</definedName>
    <definedName name="p12x">p12Len*SIN(OMax*SIN(SQRT(g/p12Len)*t))*{0;1}</definedName>
    <definedName name="p12y">-p12Len*COS(OMax*SIN(SQRT(g/p12Len)*t))*{0;1}</definedName>
    <definedName name="p13Len">'1'!$B$31</definedName>
    <definedName name="p13tz">(12)*Spacing*{1;1}</definedName>
    <definedName name="p13x">p13Len*SIN(OMax*SIN(SQRT(g/p13Len)*t))*{0;1}</definedName>
    <definedName name="p13y">-p13Len*COS(OMax*SIN(SQRT(g/p13Len)*t))*{0;1}</definedName>
    <definedName name="p14Len">'1'!$B$32</definedName>
    <definedName name="p14tz">(13)*Spacing*{1;1}</definedName>
    <definedName name="p14x">p14Len*SIN(OMax*SIN(SQRT(g/p14Len)*t))*{0;1}</definedName>
    <definedName name="p14y">-p14Len*COS(OMax*SIN(SQRT(g/p14Len)*t))*{0;1}</definedName>
    <definedName name="p15Len">'1'!$B$33</definedName>
    <definedName name="p15tz">(14)*Spacing*{1;1}</definedName>
    <definedName name="p15x">p15Len*SIN(OMax*SIN(SQRT(g/p15Len)*t))*{0;1}</definedName>
    <definedName name="p15y">-p15Len*COS(OMax*SIN(SQRT(g/p15Len)*t))*{0;1}</definedName>
    <definedName name="p16Len">'1'!$B$34</definedName>
    <definedName name="p16tz">(15)*Spacing*{1;1}</definedName>
    <definedName name="p16x">p16Len*SIN(OMax*SIN(SQRT(g/p16Len)*t))*{0;1}</definedName>
    <definedName name="p16y">-p16Len*COS(OMax*SIN(SQRT(g/p16Len)*t))*{0;1}</definedName>
    <definedName name="p17tz">(16)*Spacing*{1;1}</definedName>
    <definedName name="p1Len">'1'!$B$19</definedName>
    <definedName name="p1tz">(0)*Spacing*{1;1}</definedName>
    <definedName name="p1x">p1Len*SIN(OMax*SIN(SQRT(g/p1Len)*t))*{0;1}</definedName>
    <definedName name="p1y">-p1Len*COS(OMax*SIN(SQRT(g/p1Len)*t))*{0;1}</definedName>
    <definedName name="p2Len">'1'!$B$20</definedName>
    <definedName name="p2tz">(1)*Spacing*{1;1}</definedName>
    <definedName name="p2x">p2Len*SIN(OMax*SIN(SQRT(g/p2Len)*t))*{0;1}</definedName>
    <definedName name="p2y">-p2Len*COS(OMax*SIN(SQRT(g/p2Len)*t))*{0;1}</definedName>
    <definedName name="p3Len">'1'!$B$21</definedName>
    <definedName name="p3tz">(2)*Spacing*{1;1}</definedName>
    <definedName name="p3x">p3Len*SIN(OMax*SIN(SQRT(g/p3Len)*t))*{0;1}</definedName>
    <definedName name="p3y">-p3Len*COS(OMax*SIN(SQRT(g/p3Len)*t))*{0;1}</definedName>
    <definedName name="p4Len">'1'!$B$22</definedName>
    <definedName name="p4tz">(3)*Spacing*{1;1}</definedName>
    <definedName name="p4x">p4Len*SIN(OMax*SIN(SQRT(g/p4Len)*t))*{0;1}</definedName>
    <definedName name="p4y">-p4Len*COS(OMax*SIN(SQRT(g/p4Len)*t))*{0;1}</definedName>
    <definedName name="p5Len">'1'!$B$23</definedName>
    <definedName name="p5tz">(4)*Spacing*{1;1}</definedName>
    <definedName name="p5x">p5Len*SIN(OMax*SIN(SQRT(g/p5Len)*t))*{0;1}</definedName>
    <definedName name="p5y">-p5Len*COS(OMax*SIN(SQRT(g/p5Len)*t))*{0;1}</definedName>
    <definedName name="p6Len">'1'!$B$24</definedName>
    <definedName name="p6tz">(5)*Spacing*{1;1}</definedName>
    <definedName name="p6x">p6Len*SIN(OMax*SIN(SQRT(g/p6Len)*t))*{0;1}</definedName>
    <definedName name="p6y">-p6Len*COS(OMax*SIN(SQRT(g/p6Len)*t))*{0;1}</definedName>
    <definedName name="p7Len">'1'!$B$25</definedName>
    <definedName name="p7tz">(6)*Spacing*{1;1}</definedName>
    <definedName name="p7x">p7Len*SIN(OMax*SIN(SQRT(g/p7Len)*t))*{0;1}</definedName>
    <definedName name="p7y">-p7Len*COS(OMax*SIN(SQRT(g/p7Len)*t))*{0;1}</definedName>
    <definedName name="p8Len">'1'!$B$26</definedName>
    <definedName name="p8tz">(7)*Spacing*{1;1}</definedName>
    <definedName name="p8x">p8Len*SIN(OMax*SIN(SQRT(g/p8Len)*t))*{0;1}</definedName>
    <definedName name="p8y">-p8Len*COS(OMax*SIN(SQRT(g/p8Len)*t))*{0;1}</definedName>
    <definedName name="p9Len">'1'!$B$27</definedName>
    <definedName name="p9tz">(8)*Spacing*{1;1}</definedName>
    <definedName name="p9x">p9Len*SIN(OMax*SIN(SQRT(g/p9Len)*t))*{0;1}</definedName>
    <definedName name="p9y">-p9Len*COS(OMax*SIN(SQRT(g/p9Len)*t))*{0;1}</definedName>
    <definedName name="Spacing">'1'!$V$14</definedName>
    <definedName name="Start">-p1Len*COS(OMax)</definedName>
    <definedName name="t">68.7000000000035</definedName>
    <definedName name="tinc">'1'!$V$11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3" i="1" l="1"/>
  <c r="C21" i="1" l="1"/>
  <c r="C22" i="1" s="1"/>
  <c r="B20" i="1"/>
  <c r="B21" i="1" l="1"/>
  <c r="C23" i="1"/>
  <c r="B22" i="1"/>
  <c r="C24" i="1" l="1"/>
  <c r="B23" i="1"/>
  <c r="C25" i="1" l="1"/>
  <c r="B24" i="1"/>
  <c r="C26" i="1" l="1"/>
  <c r="B25" i="1"/>
  <c r="B26" i="1" l="1"/>
  <c r="C27" i="1"/>
  <c r="C28" i="1" l="1"/>
  <c r="B27" i="1"/>
  <c r="B28" i="1" l="1"/>
  <c r="C29" i="1"/>
  <c r="C30" i="1" l="1"/>
  <c r="B29" i="1"/>
  <c r="B30" i="1" l="1"/>
  <c r="C31" i="1"/>
  <c r="C32" i="1" l="1"/>
  <c r="B31" i="1"/>
  <c r="B32" i="1" l="1"/>
  <c r="C33" i="1"/>
  <c r="C34" i="1" l="1"/>
  <c r="B33" i="1"/>
  <c r="B34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Ian Huitson</author>
  </authors>
  <commentList>
    <comment ref="V1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Smaller = Slower
Larger = Faster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<sst xmlns="http://schemas.openxmlformats.org/spreadsheetml/2006/main" count="21" uniqueCount="20">
  <si>
    <t>Tinc</t>
  </si>
  <si>
    <t>max Swing</t>
  </si>
  <si>
    <t>Gravity</t>
  </si>
  <si>
    <t>Running</t>
  </si>
  <si>
    <t xml:space="preserve">Author: </t>
  </si>
  <si>
    <t>Ian Huitson</t>
  </si>
  <si>
    <t xml:space="preserve">Bob Color </t>
  </si>
  <si>
    <t xml:space="preserve">Inspiration: </t>
  </si>
  <si>
    <t>Newton Excel Bach</t>
  </si>
  <si>
    <t xml:space="preserve">Wire Color </t>
  </si>
  <si>
    <t>Time Inc</t>
  </si>
  <si>
    <t>Smaller = Slower</t>
  </si>
  <si>
    <t>Swing (Max)</t>
  </si>
  <si>
    <t>Degrees</t>
  </si>
  <si>
    <r>
      <t>cm/s</t>
    </r>
    <r>
      <rPr>
        <vertAlign val="superscript"/>
        <sz val="20"/>
        <color theme="1" tint="0.499984740745262"/>
        <rFont val="Calibri"/>
        <family val="2"/>
        <scheme val="minor"/>
      </rPr>
      <t>2</t>
    </r>
    <r>
      <rPr>
        <sz val="20"/>
        <color theme="1" tint="0.499984740745262"/>
        <rFont val="Calibri"/>
        <family val="2"/>
        <scheme val="minor"/>
      </rPr>
      <t xml:space="preserve"> </t>
    </r>
  </si>
  <si>
    <t>Spacing</t>
  </si>
  <si>
    <t>cm</t>
  </si>
  <si>
    <t>Pendulum</t>
  </si>
  <si>
    <t>Length, cm</t>
  </si>
  <si>
    <t>Cycles/T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</si>
</sst>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rgb="FF0061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sz val="8"/>
      <color rgb="FF0000FF"/>
      <name val="Calibri"/>
      <family val="2"/>
      <scheme val="minor"/>
    </font>
    <font>
      <u/>
      <sz val="10.4"/>
      <color theme="10"/>
      <name val="Calibri"/>
      <family val="2"/>
    </font>
    <font>
      <u/>
      <sz val="8"/>
      <color theme="10"/>
      <name val="Calibri"/>
      <family val="2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rgb="FF0000FF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0"/>
      <color rgb="FF0000FF"/>
      <name val="Calibri"/>
      <family val="2"/>
      <scheme val="minor"/>
    </font>
    <font>
      <b/>
      <sz val="28"/>
      <color rgb="FF0000FF"/>
      <name val="Calibri"/>
      <family val="2"/>
      <scheme val="minor"/>
    </font>
    <font>
      <b/>
      <sz val="48"/>
      <color rgb="FF0000FF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u/>
      <sz val="22"/>
      <color theme="10"/>
      <name val="Calibri"/>
      <family val="2"/>
    </font>
    <font>
      <sz val="20"/>
      <color theme="1" tint="0.499984740745262"/>
      <name val="Calibri"/>
      <family val="2"/>
      <scheme val="minor"/>
    </font>
    <font>
      <vertAlign val="superscript"/>
      <sz val="20"/>
      <color theme="1" tint="0.499984740745262"/>
      <name val="Calibri"/>
      <family val="2"/>
      <scheme val="minor"/>
    </font>
    <font>
      <u/>
      <sz val="20"/>
      <color theme="1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theme="3" tint="0.39994506668294322"/>
      </left>
      <right style="thin">
        <color theme="3" tint="0.39994506668294322"/>
      </right>
      <top style="thin">
        <color theme="3" tint="0.39994506668294322"/>
      </top>
      <bottom/>
      <diagonal/>
    </border>
    <border>
      <left style="thin">
        <color theme="3" tint="0.39994506668294322"/>
      </left>
      <right style="thin">
        <color theme="3" tint="0.39994506668294322"/>
      </right>
      <top/>
      <bottom/>
      <diagonal/>
    </border>
    <border>
      <left style="thin">
        <color theme="3" tint="0.39994506668294322"/>
      </left>
      <right style="thin">
        <color theme="3" tint="0.39994506668294322"/>
      </right>
      <top/>
      <bottom style="thin">
        <color theme="3" tint="0.39994506668294322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/>
  </cellStyleXfs>
  <cellXfs count="26">
    <xf numFmtId="0" fontId="0" fillId="0" borderId="0" xfId="0"/>
    <xf numFmtId="0" fontId="0" fillId="4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2" fontId="0" fillId="4" borderId="0" xfId="0" quotePrefix="1" applyNumberForma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4" fillId="4" borderId="0" xfId="0" quotePrefix="1" applyFont="1" applyFill="1" applyAlignment="1">
      <alignment horizontal="center"/>
    </xf>
    <xf numFmtId="0" fontId="7" fillId="4" borderId="0" xfId="2" applyFont="1" applyFill="1" applyAlignment="1" applyProtection="1"/>
    <xf numFmtId="0" fontId="0" fillId="4" borderId="0" xfId="0" applyFill="1" applyAlignment="1">
      <alignment horizontal="centerContinuous"/>
    </xf>
    <xf numFmtId="0" fontId="8" fillId="4" borderId="0" xfId="0" applyFont="1" applyFill="1" applyAlignment="1">
      <alignment horizontal="centerContinuous"/>
    </xf>
    <xf numFmtId="0" fontId="0" fillId="4" borderId="0" xfId="0" applyFill="1" applyAlignment="1">
      <alignment horizontal="right"/>
    </xf>
    <xf numFmtId="0" fontId="0" fillId="4" borderId="0" xfId="0" applyFill="1" applyAlignment="1">
      <alignment horizontal="left"/>
    </xf>
    <xf numFmtId="0" fontId="11" fillId="4" borderId="0" xfId="0" applyFont="1" applyFill="1" applyAlignment="1">
      <alignment horizontal="centerContinuous"/>
    </xf>
    <xf numFmtId="0" fontId="5" fillId="3" borderId="1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12" fillId="4" borderId="0" xfId="0" applyFont="1" applyFill="1"/>
    <xf numFmtId="0" fontId="14" fillId="4" borderId="0" xfId="0" applyFont="1" applyFill="1" applyAlignment="1">
      <alignment horizontal="centerContinuous"/>
    </xf>
    <xf numFmtId="0" fontId="15" fillId="4" borderId="0" xfId="0" applyFont="1" applyFill="1" applyAlignment="1">
      <alignment horizontal="centerContinuous"/>
    </xf>
    <xf numFmtId="0" fontId="18" fillId="4" borderId="0" xfId="2" applyFont="1" applyFill="1" applyAlignment="1" applyProtection="1"/>
    <xf numFmtId="0" fontId="17" fillId="4" borderId="0" xfId="0" applyFont="1" applyFill="1" applyAlignment="1">
      <alignment horizontal="right"/>
    </xf>
    <xf numFmtId="0" fontId="13" fillId="3" borderId="1" xfId="1" applyFont="1" applyFill="1" applyBorder="1"/>
    <xf numFmtId="0" fontId="19" fillId="4" borderId="0" xfId="0" applyFont="1" applyFill="1"/>
    <xf numFmtId="0" fontId="13" fillId="3" borderId="2" xfId="1" applyFont="1" applyFill="1" applyBorder="1"/>
    <xf numFmtId="3" fontId="13" fillId="3" borderId="3" xfId="1" applyNumberFormat="1" applyFont="1" applyFill="1" applyBorder="1"/>
    <xf numFmtId="0" fontId="16" fillId="4" borderId="0" xfId="0" applyFont="1" applyFill="1" applyAlignment="1">
      <alignment horizontal="right"/>
    </xf>
    <xf numFmtId="0" fontId="21" fillId="4" borderId="0" xfId="2" applyFont="1" applyFill="1" applyAlignment="1" applyProtection="1"/>
  </cellXfs>
  <cellStyles count="4">
    <cellStyle name="Good" xfId="1" builtinId="26"/>
    <cellStyle name="Hyperlink" xfId="2" builtinId="8"/>
    <cellStyle name="Normal" xfId="0" builtinId="0"/>
    <cellStyle name="Normal 2" xfId="3" xr:uid="{00000000-0005-0000-0000-000003000000}"/>
  </cellStyles>
  <dxfs count="0"/>
  <tableStyles count="0" defaultTableStyle="TableStyleMedium9" defaultPivotStyle="PivotStyleLight16"/>
  <colors>
    <mruColors>
      <color rgb="FF0000FF"/>
      <color rgb="FFFFFE00"/>
      <color rgb="FF58585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"/>
          <c:w val="0.99846578122714791"/>
          <c:h val="1"/>
        </c:manualLayout>
      </c:layout>
      <c:scatterChart>
        <c:scatterStyle val="lineMarker"/>
        <c:varyColors val="0"/>
        <c:ser>
          <c:idx val="0"/>
          <c:order val="0"/>
          <c:tx>
            <c:v>1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00FF00"/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pPr>
                <a:solidFill>
                  <a:srgbClr val="0070C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D149-4F4F-BFC0-C9170D17DF2C}"/>
              </c:ext>
            </c:extLst>
          </c:dPt>
          <c:dPt>
            <c:idx val="1"/>
            <c:marker>
              <c:symbol val="circle"/>
              <c:size val="15"/>
              <c:spPr>
                <a:solidFill>
                  <a:srgbClr val="FF000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D149-4F4F-BFC0-C9170D17DF2C}"/>
              </c:ext>
            </c:extLst>
          </c:dPt>
          <c:xVal>
            <c:numRef>
              <c:f>[0]!p1x</c:f>
              <c:numCache>
                <c:formatCode>General</c:formatCode>
                <c:ptCount val="2"/>
                <c:pt idx="0">
                  <c:v>0</c:v>
                </c:pt>
                <c:pt idx="1">
                  <c:v>29.548904044504262</c:v>
                </c:pt>
              </c:numCache>
            </c:numRef>
          </c:xVal>
          <c:yVal>
            <c:numRef>
              <c:f>[0]!p1y</c:f>
              <c:numCache>
                <c:formatCode>General</c:formatCode>
                <c:ptCount val="2"/>
                <c:pt idx="0">
                  <c:v>0</c:v>
                </c:pt>
                <c:pt idx="1">
                  <c:v>-52.219366807427683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149-4F4F-BFC0-C9170D17DF2C}"/>
            </c:ext>
          </c:extLst>
        </c:ser>
        <c:ser>
          <c:idx val="1"/>
          <c:order val="1"/>
          <c:tx>
            <c:v>2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C0504D">
                  <a:lumMod val="60000"/>
                  <a:lumOff val="40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auto"/>
              <c:spPr>
                <a:solidFill>
                  <a:srgbClr val="D99694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D149-4F4F-BFC0-C9170D17DF2C}"/>
              </c:ext>
            </c:extLst>
          </c:dPt>
          <c:dPt>
            <c:idx val="1"/>
            <c:marker>
              <c:symbol val="circle"/>
              <c:size val="15"/>
              <c:spPr>
                <a:solidFill>
                  <a:srgbClr val="803F0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D149-4F4F-BFC0-C9170D17DF2C}"/>
              </c:ext>
            </c:extLst>
          </c:dPt>
          <c:xVal>
            <c:numRef>
              <c:f>[0]!p2x</c:f>
              <c:numCache>
                <c:formatCode>General</c:formatCode>
                <c:ptCount val="2"/>
                <c:pt idx="0">
                  <c:v>0</c:v>
                </c:pt>
                <c:pt idx="1">
                  <c:v>12.314147230659767</c:v>
                </c:pt>
              </c:numCache>
            </c:numRef>
          </c:xVal>
          <c:yVal>
            <c:numRef>
              <c:f>[0]!p2y</c:f>
              <c:numCache>
                <c:formatCode>General</c:formatCode>
                <c:ptCount val="2"/>
                <c:pt idx="0">
                  <c:v>0</c:v>
                </c:pt>
                <c:pt idx="1">
                  <c:v>-51.495789228422396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149-4F4F-BFC0-C9170D17DF2C}"/>
            </c:ext>
          </c:extLst>
        </c:ser>
        <c:ser>
          <c:idx val="2"/>
          <c:order val="2"/>
          <c:tx>
            <c:v>3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F79646">
                  <a:lumMod val="75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pPr>
                <a:solidFill>
                  <a:srgbClr val="E46C0A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D149-4F4F-BFC0-C9170D17DF2C}"/>
              </c:ext>
            </c:extLst>
          </c:dPt>
          <c:dPt>
            <c:idx val="1"/>
            <c:marker>
              <c:symbol val="circle"/>
              <c:size val="15"/>
              <c:spPr>
                <a:solidFill>
                  <a:srgbClr val="007F0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D149-4F4F-BFC0-C9170D17DF2C}"/>
              </c:ext>
            </c:extLst>
          </c:dPt>
          <c:xVal>
            <c:numRef>
              <c:f>[0]!p3x</c:f>
              <c:numCache>
                <c:formatCode>General</c:formatCode>
                <c:ptCount val="2"/>
                <c:pt idx="0">
                  <c:v>0</c:v>
                </c:pt>
                <c:pt idx="1">
                  <c:v>-10.821108221669133</c:v>
                </c:pt>
              </c:numCache>
            </c:numRef>
          </c:xVal>
          <c:yVal>
            <c:numRef>
              <c:f>[0]!p3y</c:f>
              <c:numCache>
                <c:formatCode>General</c:formatCode>
                <c:ptCount val="2"/>
                <c:pt idx="0">
                  <c:v>0</c:v>
                </c:pt>
                <c:pt idx="1">
                  <c:v>-45.808633252860481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149-4F4F-BFC0-C9170D17DF2C}"/>
            </c:ext>
          </c:extLst>
        </c:ser>
        <c:ser>
          <c:idx val="3"/>
          <c:order val="3"/>
          <c:tx>
            <c:v>4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8064A2">
                  <a:lumMod val="75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auto"/>
              <c:spPr>
                <a:solidFill>
                  <a:srgbClr val="604A7B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D149-4F4F-BFC0-C9170D17DF2C}"/>
              </c:ext>
            </c:extLst>
          </c:dPt>
          <c:dPt>
            <c:idx val="1"/>
            <c:marker>
              <c:symbol val="circle"/>
              <c:size val="15"/>
              <c:spPr>
                <a:solidFill>
                  <a:srgbClr val="7FBF0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D149-4F4F-BFC0-C9170D17DF2C}"/>
              </c:ext>
            </c:extLst>
          </c:dPt>
          <c:xVal>
            <c:numRef>
              <c:f>[0]!p4x</c:f>
              <c:numCache>
                <c:formatCode>General</c:formatCode>
                <c:ptCount val="2"/>
                <c:pt idx="0">
                  <c:v>0</c:v>
                </c:pt>
                <c:pt idx="1">
                  <c:v>-20.721789614177535</c:v>
                </c:pt>
              </c:numCache>
            </c:numRef>
          </c:xVal>
          <c:yVal>
            <c:numRef>
              <c:f>[0]!p4y</c:f>
              <c:numCache>
                <c:formatCode>General</c:formatCode>
                <c:ptCount val="2"/>
                <c:pt idx="0">
                  <c:v>0</c:v>
                </c:pt>
                <c:pt idx="1">
                  <c:v>-36.668263396513552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149-4F4F-BFC0-C9170D17DF2C}"/>
            </c:ext>
          </c:extLst>
        </c:ser>
        <c:ser>
          <c:idx val="4"/>
          <c:order val="4"/>
          <c:tx>
            <c:v>5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9BBB59">
                  <a:lumMod val="75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auto"/>
              <c:spPr>
                <a:solidFill>
                  <a:srgbClr val="77933C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D149-4F4F-BFC0-C9170D17DF2C}"/>
              </c:ext>
            </c:extLst>
          </c:dPt>
          <c:dPt>
            <c:idx val="1"/>
            <c:marker>
              <c:spPr>
                <a:solidFill>
                  <a:srgbClr val="01FE0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D149-4F4F-BFC0-C9170D17DF2C}"/>
              </c:ext>
            </c:extLst>
          </c:dPt>
          <c:xVal>
            <c:numRef>
              <c:f>[0]!p5x</c:f>
              <c:numCache>
                <c:formatCode>General</c:formatCode>
                <c:ptCount val="2"/>
                <c:pt idx="0">
                  <c:v>0</c:v>
                </c:pt>
                <c:pt idx="1">
                  <c:v>-14.347030137240539</c:v>
                </c:pt>
              </c:numCache>
            </c:numRef>
          </c:xVal>
          <c:yVal>
            <c:numRef>
              <c:f>[0]!p5y</c:f>
              <c:numCache>
                <c:formatCode>General</c:formatCode>
                <c:ptCount val="2"/>
                <c:pt idx="0">
                  <c:v>0</c:v>
                </c:pt>
                <c:pt idx="1">
                  <c:v>-35.089535400512119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149-4F4F-BFC0-C9170D17DF2C}"/>
            </c:ext>
          </c:extLst>
        </c:ser>
        <c:ser>
          <c:idx val="5"/>
          <c:order val="5"/>
          <c:tx>
            <c:v>6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1F497D">
                  <a:lumMod val="60000"/>
                  <a:lumOff val="40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auto"/>
              <c:spPr>
                <a:solidFill>
                  <a:srgbClr val="558ED5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D149-4F4F-BFC0-C9170D17DF2C}"/>
              </c:ext>
            </c:extLst>
          </c:dPt>
          <c:dPt>
            <c:idx val="1"/>
            <c:marker>
              <c:symbol val="circle"/>
              <c:size val="15"/>
              <c:spPr>
                <a:solidFill>
                  <a:srgbClr val="7C443F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D149-4F4F-BFC0-C9170D17DF2C}"/>
              </c:ext>
            </c:extLst>
          </c:dPt>
          <c:xVal>
            <c:numRef>
              <c:f>[0]!p6x</c:f>
              <c:numCache>
                <c:formatCode>General</c:formatCode>
                <c:ptCount val="2"/>
                <c:pt idx="0">
                  <c:v>0</c:v>
                </c:pt>
                <c:pt idx="1">
                  <c:v>1.5932994398268781</c:v>
                </c:pt>
              </c:numCache>
            </c:numRef>
          </c:xVal>
          <c:yVal>
            <c:numRef>
              <c:f>[0]!p6y</c:f>
              <c:numCache>
                <c:formatCode>General</c:formatCode>
                <c:ptCount val="2"/>
                <c:pt idx="0">
                  <c:v>0</c:v>
                </c:pt>
                <c:pt idx="1">
                  <c:v>-34.263986535276118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149-4F4F-BFC0-C9170D17DF2C}"/>
            </c:ext>
          </c:extLst>
        </c:ser>
        <c:ser>
          <c:idx val="6"/>
          <c:order val="6"/>
          <c:tx>
            <c:v>7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1F497D">
                  <a:lumMod val="75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auto"/>
              <c:spPr>
                <a:solidFill>
                  <a:srgbClr val="17375E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D149-4F4F-BFC0-C9170D17DF2C}"/>
              </c:ext>
            </c:extLst>
          </c:dPt>
          <c:dPt>
            <c:idx val="1"/>
            <c:marker>
              <c:spPr>
                <a:solidFill>
                  <a:srgbClr val="00817E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D149-4F4F-BFC0-C9170D17DF2C}"/>
              </c:ext>
            </c:extLst>
          </c:dPt>
          <c:xVal>
            <c:numRef>
              <c:f>[0]!p7x</c:f>
              <c:numCache>
                <c:formatCode>General</c:formatCode>
                <c:ptCount val="2"/>
                <c:pt idx="0">
                  <c:v>0</c:v>
                </c:pt>
                <c:pt idx="1">
                  <c:v>13.399569122028803</c:v>
                </c:pt>
              </c:numCache>
            </c:numRef>
          </c:xVal>
          <c:yVal>
            <c:numRef>
              <c:f>[0]!p7y</c:f>
              <c:numCache>
                <c:formatCode>General</c:formatCode>
                <c:ptCount val="2"/>
                <c:pt idx="0">
                  <c:v>0</c:v>
                </c:pt>
                <c:pt idx="1">
                  <c:v>-28.1588325106936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D149-4F4F-BFC0-C9170D17DF2C}"/>
            </c:ext>
          </c:extLst>
        </c:ser>
        <c:ser>
          <c:idx val="7"/>
          <c:order val="7"/>
          <c:tx>
            <c:v>8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ysClr val="windowText" lastClr="000000"/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x"/>
              <c:size val="4"/>
              <c:spPr>
                <a:solidFill>
                  <a:srgbClr val="00000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D149-4F4F-BFC0-C9170D17DF2C}"/>
              </c:ext>
            </c:extLst>
          </c:dPt>
          <c:dPt>
            <c:idx val="1"/>
            <c:marker>
              <c:spPr>
                <a:solidFill>
                  <a:srgbClr val="81BFBE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D149-4F4F-BFC0-C9170D17DF2C}"/>
              </c:ext>
            </c:extLst>
          </c:dPt>
          <c:xVal>
            <c:numRef>
              <c:f>[0]!p8x</c:f>
              <c:numCache>
                <c:formatCode>General</c:formatCode>
                <c:ptCount val="2"/>
                <c:pt idx="0">
                  <c:v>0</c:v>
                </c:pt>
                <c:pt idx="1">
                  <c:v>13.374800130359549</c:v>
                </c:pt>
              </c:numCache>
            </c:numRef>
          </c:xVal>
          <c:yVal>
            <c:numRef>
              <c:f>[0]!p8y</c:f>
              <c:numCache>
                <c:formatCode>General</c:formatCode>
                <c:ptCount val="2"/>
                <c:pt idx="0">
                  <c:v>0</c:v>
                </c:pt>
                <c:pt idx="1">
                  <c:v>-25.137374879823692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D149-4F4F-BFC0-C9170D17DF2C}"/>
            </c:ext>
          </c:extLst>
        </c:ser>
        <c:ser>
          <c:idx val="8"/>
          <c:order val="8"/>
          <c:tx>
            <c:v>9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9BBB59"/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circle"/>
              <c:size val="2"/>
            </c:marker>
            <c:bubble3D val="0"/>
            <c:extLst>
              <c:ext xmlns:c16="http://schemas.microsoft.com/office/drawing/2014/chart" uri="{C3380CC4-5D6E-409C-BE32-E72D297353CC}">
                <c16:uniqueId val="{00000018-D149-4F4F-BFC0-C9170D17DF2C}"/>
              </c:ext>
            </c:extLst>
          </c:dPt>
          <c:dPt>
            <c:idx val="1"/>
            <c:marker>
              <c:spPr>
                <a:solidFill>
                  <a:srgbClr val="FF02FD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D149-4F4F-BFC0-C9170D17DF2C}"/>
              </c:ext>
            </c:extLst>
          </c:dPt>
          <c:xVal>
            <c:numRef>
              <c:f>[0]!p9x</c:f>
              <c:numCache>
                <c:formatCode>General</c:formatCode>
                <c:ptCount val="2"/>
                <c:pt idx="0">
                  <c:v>0</c:v>
                </c:pt>
                <c:pt idx="1">
                  <c:v>3.7801187824806615</c:v>
                </c:pt>
              </c:numCache>
            </c:numRef>
          </c:xVal>
          <c:yVal>
            <c:numRef>
              <c:f>[0]!p9y</c:f>
              <c:numCache>
                <c:formatCode>General</c:formatCode>
                <c:ptCount val="2"/>
                <c:pt idx="0">
                  <c:v>0</c:v>
                </c:pt>
                <c:pt idx="1">
                  <c:v>-25.827141216000339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D149-4F4F-BFC0-C9170D17DF2C}"/>
            </c:ext>
          </c:extLst>
        </c:ser>
        <c:ser>
          <c:idx val="9"/>
          <c:order val="9"/>
          <c:tx>
            <c:v>10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8064A2"/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1"/>
            <c:marker>
              <c:symbol val="circle"/>
              <c:size val="15"/>
              <c:spPr>
                <a:solidFill>
                  <a:srgbClr val="FF80BE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D149-4F4F-BFC0-C9170D17DF2C}"/>
              </c:ext>
            </c:extLst>
          </c:dPt>
          <c:xVal>
            <c:numRef>
              <c:f>[0]!p10x</c:f>
              <c:numCache>
                <c:formatCode>General</c:formatCode>
                <c:ptCount val="2"/>
                <c:pt idx="0">
                  <c:v>0</c:v>
                </c:pt>
                <c:pt idx="1">
                  <c:v>-7.4121423267690814</c:v>
                </c:pt>
              </c:numCache>
            </c:numRef>
          </c:xVal>
          <c:yVal>
            <c:numRef>
              <c:f>[0]!p10y</c:f>
              <c:numCache>
                <c:formatCode>General</c:formatCode>
                <c:ptCount val="2"/>
                <c:pt idx="0">
                  <c:v>0</c:v>
                </c:pt>
                <c:pt idx="1">
                  <c:v>-22.842505796547002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D149-4F4F-BFC0-C9170D17DF2C}"/>
            </c:ext>
          </c:extLst>
        </c:ser>
        <c:ser>
          <c:idx val="10"/>
          <c:order val="10"/>
          <c:tx>
            <c:v>11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4BACC6"/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pPr>
                <a:solidFill>
                  <a:srgbClr val="558ED5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D149-4F4F-BFC0-C9170D17DF2C}"/>
              </c:ext>
            </c:extLst>
          </c:dPt>
          <c:dPt>
            <c:idx val="1"/>
            <c:marker>
              <c:symbol val="circle"/>
              <c:size val="15"/>
              <c:spPr>
                <a:solidFill>
                  <a:srgbClr val="FE027E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D149-4F4F-BFC0-C9170D17DF2C}"/>
              </c:ext>
            </c:extLst>
          </c:dPt>
          <c:xVal>
            <c:numRef>
              <c:f>[0]!p11x</c:f>
              <c:numCache>
                <c:formatCode>General</c:formatCode>
                <c:ptCount val="2"/>
                <c:pt idx="0">
                  <c:v>0</c:v>
                </c:pt>
                <c:pt idx="1">
                  <c:v>-11.084101093056828</c:v>
                </c:pt>
              </c:numCache>
            </c:numRef>
          </c:xVal>
          <c:yVal>
            <c:numRef>
              <c:f>[0]!p11y</c:f>
              <c:numCache>
                <c:formatCode>General</c:formatCode>
                <c:ptCount val="2"/>
                <c:pt idx="0">
                  <c:v>0</c:v>
                </c:pt>
                <c:pt idx="1">
                  <c:v>-19.198450935739821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D149-4F4F-BFC0-C9170D17DF2C}"/>
            </c:ext>
          </c:extLst>
        </c:ser>
        <c:ser>
          <c:idx val="11"/>
          <c:order val="11"/>
          <c:tx>
            <c:v>12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F79646"/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0-D149-4F4F-BFC0-C9170D17DF2C}"/>
              </c:ext>
            </c:extLst>
          </c:dPt>
          <c:dPt>
            <c:idx val="1"/>
            <c:marker>
              <c:symbol val="circle"/>
              <c:size val="15"/>
              <c:spPr>
                <a:solidFill>
                  <a:srgbClr val="FF823E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D149-4F4F-BFC0-C9170D17DF2C}"/>
              </c:ext>
            </c:extLst>
          </c:dPt>
          <c:xVal>
            <c:numRef>
              <c:f>[0]!p12x</c:f>
              <c:numCache>
                <c:formatCode>General</c:formatCode>
                <c:ptCount val="2"/>
                <c:pt idx="0">
                  <c:v>0</c:v>
                </c:pt>
                <c:pt idx="1">
                  <c:v>-6.4072824681896652</c:v>
                </c:pt>
              </c:numCache>
            </c:numRef>
          </c:xVal>
          <c:yVal>
            <c:numRef>
              <c:f>[0]!p12y</c:f>
              <c:numCache>
                <c:formatCode>General</c:formatCode>
                <c:ptCount val="2"/>
                <c:pt idx="0">
                  <c:v>0</c:v>
                </c:pt>
                <c:pt idx="1">
                  <c:v>-19.501267840475386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D149-4F4F-BFC0-C9170D17DF2C}"/>
            </c:ext>
          </c:extLst>
        </c:ser>
        <c:ser>
          <c:idx val="12"/>
          <c:order val="12"/>
          <c:tx>
            <c:v>13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4F81BD">
                  <a:tint val="65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1"/>
            <c:marker>
              <c:symbol val="circle"/>
              <c:size val="15"/>
              <c:spPr>
                <a:solidFill>
                  <a:srgbClr val="948A54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D149-4F4F-BFC0-C9170D17DF2C}"/>
              </c:ext>
            </c:extLst>
          </c:dPt>
          <c:xVal>
            <c:numRef>
              <c:f>[0]!p13x</c:f>
              <c:numCache>
                <c:formatCode>General</c:formatCode>
                <c:ptCount val="2"/>
                <c:pt idx="0">
                  <c:v>0</c:v>
                </c:pt>
                <c:pt idx="1">
                  <c:v>2.6768107986900591</c:v>
                </c:pt>
              </c:numCache>
            </c:numRef>
          </c:xVal>
          <c:yVal>
            <c:numRef>
              <c:f>[0]!p13y</c:f>
              <c:numCache>
                <c:formatCode>General</c:formatCode>
                <c:ptCount val="2"/>
                <c:pt idx="0">
                  <c:v>0</c:v>
                </c:pt>
                <c:pt idx="1">
                  <c:v>-18.872265128273465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D149-4F4F-BFC0-C9170D17DF2C}"/>
            </c:ext>
          </c:extLst>
        </c:ser>
        <c:ser>
          <c:idx val="13"/>
          <c:order val="13"/>
          <c:tx>
            <c:v>14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C0504D">
                  <a:tint val="65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5-D149-4F4F-BFC0-C9170D17DF2C}"/>
              </c:ext>
            </c:extLst>
          </c:dPt>
          <c:dPt>
            <c:idx val="1"/>
            <c:marker>
              <c:spPr>
                <a:solidFill>
                  <a:srgbClr val="31859C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D149-4F4F-BFC0-C9170D17DF2C}"/>
              </c:ext>
            </c:extLst>
          </c:dPt>
          <c:xVal>
            <c:numRef>
              <c:f>[0]!p14x</c:f>
              <c:numCache>
                <c:formatCode>General</c:formatCode>
                <c:ptCount val="2"/>
                <c:pt idx="0">
                  <c:v>0</c:v>
                </c:pt>
                <c:pt idx="1">
                  <c:v>8.309971769599656</c:v>
                </c:pt>
              </c:numCache>
            </c:numRef>
          </c:xVal>
          <c:yVal>
            <c:numRef>
              <c:f>[0]!p14y</c:f>
              <c:numCache>
                <c:formatCode>General</c:formatCode>
                <c:ptCount val="2"/>
                <c:pt idx="0">
                  <c:v>0</c:v>
                </c:pt>
                <c:pt idx="1">
                  <c:v>-15.681209947407792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D149-4F4F-BFC0-C9170D17DF2C}"/>
            </c:ext>
          </c:extLst>
        </c:ser>
        <c:ser>
          <c:idx val="14"/>
          <c:order val="14"/>
          <c:tx>
            <c:v>15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9BBB59">
                  <a:tint val="65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pPr>
                <a:solidFill>
                  <a:srgbClr val="D99694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D149-4F4F-BFC0-C9170D17DF2C}"/>
              </c:ext>
            </c:extLst>
          </c:dPt>
          <c:dPt>
            <c:idx val="1"/>
            <c:marker>
              <c:symbol val="circle"/>
              <c:size val="15"/>
              <c:spPr>
                <a:solidFill>
                  <a:srgbClr val="D99694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D149-4F4F-BFC0-C9170D17DF2C}"/>
              </c:ext>
            </c:extLst>
          </c:dPt>
          <c:xVal>
            <c:numRef>
              <c:f>[0]!p15x</c:f>
              <c:numCache>
                <c:formatCode>General</c:formatCode>
                <c:ptCount val="2"/>
                <c:pt idx="0">
                  <c:v>0</c:v>
                </c:pt>
                <c:pt idx="1">
                  <c:v>7.1536547696150521</c:v>
                </c:pt>
              </c:numCache>
            </c:numRef>
          </c:xVal>
          <c:yVal>
            <c:numRef>
              <c:f>[0]!p15y</c:f>
              <c:numCache>
                <c:formatCode>General</c:formatCode>
                <c:ptCount val="2"/>
                <c:pt idx="0">
                  <c:v>0</c:v>
                </c:pt>
                <c:pt idx="1">
                  <c:v>-14.939817050828323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D149-4F4F-BFC0-C9170D17DF2C}"/>
            </c:ext>
          </c:extLst>
        </c:ser>
        <c:ser>
          <c:idx val="15"/>
          <c:order val="15"/>
          <c:tx>
            <c:v>16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8064A2">
                  <a:tint val="65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square"/>
              <c:size val="6"/>
              <c:spPr>
                <a:solidFill>
                  <a:sysClr val="windowText" lastClr="00000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D149-4F4F-BFC0-C9170D17DF2C}"/>
              </c:ext>
            </c:extLst>
          </c:dPt>
          <c:dPt>
            <c:idx val="1"/>
            <c:marker>
              <c:symbol val="circle"/>
              <c:size val="15"/>
              <c:spPr>
                <a:solidFill>
                  <a:srgbClr val="A6A6A6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D149-4F4F-BFC0-C9170D17DF2C}"/>
              </c:ext>
            </c:extLst>
          </c:dPt>
          <c:xVal>
            <c:numRef>
              <c:f>[0]!p16x</c:f>
              <c:numCache>
                <c:formatCode>General</c:formatCode>
                <c:ptCount val="2"/>
                <c:pt idx="0">
                  <c:v>0</c:v>
                </c:pt>
                <c:pt idx="1">
                  <c:v>0.79078902692817332</c:v>
                </c:pt>
              </c:numCache>
            </c:numRef>
          </c:xVal>
          <c:yVal>
            <c:numRef>
              <c:f>[0]!p16y</c:f>
              <c:numCache>
                <c:formatCode>General</c:formatCode>
                <c:ptCount val="2"/>
                <c:pt idx="0">
                  <c:v>0</c:v>
                </c:pt>
                <c:pt idx="1">
                  <c:v>-15.475643382841795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D149-4F4F-BFC0-C9170D17D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826688"/>
        <c:axId val="248827264"/>
      </c:scatterChart>
      <c:valAx>
        <c:axId val="248826688"/>
        <c:scaling>
          <c:orientation val="minMax"/>
          <c:max val="50"/>
          <c:min val="-50"/>
        </c:scaling>
        <c:delete val="0"/>
        <c:axPos val="b"/>
        <c:numFmt formatCode=";;;" sourceLinked="0"/>
        <c:majorTickMark val="none"/>
        <c:minorTickMark val="none"/>
        <c:tickLblPos val="nextTo"/>
        <c:crossAx val="248827264"/>
        <c:crosses val="autoZero"/>
        <c:crossBetween val="midCat"/>
      </c:valAx>
      <c:valAx>
        <c:axId val="248827264"/>
        <c:scaling>
          <c:orientation val="minMax"/>
          <c:max val="5"/>
          <c:min val="-65"/>
        </c:scaling>
        <c:delete val="1"/>
        <c:axPos val="l"/>
        <c:numFmt formatCode="General" sourceLinked="1"/>
        <c:majorTickMark val="out"/>
        <c:minorTickMark val="none"/>
        <c:tickLblPos val="nextTo"/>
        <c:crossAx val="2488266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25400" cmpd="thinThick"/>
  </c:spPr>
  <c:printSettings>
    <c:headerFooter/>
    <c:pageMargins b="0.75000000000000344" l="0.70000000000000062" r="0.70000000000000062" t="0.75000000000000344" header="0.30000000000000032" footer="0.3000000000000003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7278831698200182E-2"/>
          <c:y val="1.2734439247567954E-2"/>
          <c:w val="0.99834562645967284"/>
          <c:h val="0.97880699752159472"/>
        </c:manualLayout>
      </c:layout>
      <c:scatterChart>
        <c:scatterStyle val="lineMarker"/>
        <c:varyColors val="0"/>
        <c:ser>
          <c:idx val="0"/>
          <c:order val="0"/>
          <c:tx>
            <c:v>1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00FF00"/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pPr>
                <a:solidFill>
                  <a:srgbClr val="0070C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AC46-48E0-8393-6E5B85CA3DF8}"/>
              </c:ext>
            </c:extLst>
          </c:dPt>
          <c:dPt>
            <c:idx val="1"/>
            <c:marker>
              <c:symbol val="circle"/>
              <c:size val="15"/>
              <c:spPr>
                <a:solidFill>
                  <a:srgbClr val="FF000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AC46-48E0-8393-6E5B85CA3DF8}"/>
              </c:ext>
            </c:extLst>
          </c:dPt>
          <c:xVal>
            <c:numRef>
              <c:f>[0]!p1x</c:f>
              <c:numCache>
                <c:formatCode>General</c:formatCode>
                <c:ptCount val="2"/>
                <c:pt idx="0">
                  <c:v>0</c:v>
                </c:pt>
                <c:pt idx="1">
                  <c:v>29.548904044504262</c:v>
                </c:pt>
              </c:numCache>
            </c:numRef>
          </c:xVal>
          <c:yVal>
            <c:numRef>
              <c:f>[0]!p1tz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C46-48E0-8393-6E5B85CA3DF8}"/>
            </c:ext>
          </c:extLst>
        </c:ser>
        <c:ser>
          <c:idx val="1"/>
          <c:order val="1"/>
          <c:tx>
            <c:v>2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C0504D">
                  <a:lumMod val="60000"/>
                  <a:lumOff val="40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auto"/>
              <c:spPr>
                <a:solidFill>
                  <a:srgbClr val="D99694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AC46-48E0-8393-6E5B85CA3DF8}"/>
              </c:ext>
            </c:extLst>
          </c:dPt>
          <c:dPt>
            <c:idx val="1"/>
            <c:marker>
              <c:symbol val="circle"/>
              <c:size val="15"/>
              <c:spPr>
                <a:solidFill>
                  <a:srgbClr val="803F0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AC46-48E0-8393-6E5B85CA3DF8}"/>
              </c:ext>
            </c:extLst>
          </c:dPt>
          <c:xVal>
            <c:numRef>
              <c:f>[0]!p2x</c:f>
              <c:numCache>
                <c:formatCode>General</c:formatCode>
                <c:ptCount val="2"/>
                <c:pt idx="0">
                  <c:v>0</c:v>
                </c:pt>
                <c:pt idx="1">
                  <c:v>12.314147230659767</c:v>
                </c:pt>
              </c:numCache>
            </c:numRef>
          </c:xVal>
          <c:yVal>
            <c:numRef>
              <c:f>[0]!p2tz</c:f>
              <c:numCache>
                <c:formatCode>General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C46-48E0-8393-6E5B85CA3DF8}"/>
            </c:ext>
          </c:extLst>
        </c:ser>
        <c:ser>
          <c:idx val="2"/>
          <c:order val="2"/>
          <c:tx>
            <c:v>3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F79646">
                  <a:lumMod val="75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pPr>
                <a:solidFill>
                  <a:srgbClr val="E46C0A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AC46-48E0-8393-6E5B85CA3DF8}"/>
              </c:ext>
            </c:extLst>
          </c:dPt>
          <c:dPt>
            <c:idx val="1"/>
            <c:marker>
              <c:symbol val="circle"/>
              <c:size val="15"/>
              <c:spPr>
                <a:solidFill>
                  <a:srgbClr val="007F0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AC46-48E0-8393-6E5B85CA3DF8}"/>
              </c:ext>
            </c:extLst>
          </c:dPt>
          <c:xVal>
            <c:numRef>
              <c:f>[0]!p3x</c:f>
              <c:numCache>
                <c:formatCode>General</c:formatCode>
                <c:ptCount val="2"/>
                <c:pt idx="0">
                  <c:v>0</c:v>
                </c:pt>
                <c:pt idx="1">
                  <c:v>-10.821108221669133</c:v>
                </c:pt>
              </c:numCache>
            </c:numRef>
          </c:xVal>
          <c:yVal>
            <c:numRef>
              <c:f>[0]!p3tz</c:f>
              <c:numCache>
                <c:formatCode>General</c:formatCode>
                <c:ptCount val="2"/>
                <c:pt idx="0">
                  <c:v>30</c:v>
                </c:pt>
                <c:pt idx="1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C46-48E0-8393-6E5B85CA3DF8}"/>
            </c:ext>
          </c:extLst>
        </c:ser>
        <c:ser>
          <c:idx val="3"/>
          <c:order val="3"/>
          <c:tx>
            <c:v>4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8064A2">
                  <a:lumMod val="75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auto"/>
              <c:spPr>
                <a:solidFill>
                  <a:srgbClr val="604A7B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AC46-48E0-8393-6E5B85CA3DF8}"/>
              </c:ext>
            </c:extLst>
          </c:dPt>
          <c:dPt>
            <c:idx val="1"/>
            <c:marker>
              <c:symbol val="circle"/>
              <c:size val="15"/>
              <c:spPr>
                <a:solidFill>
                  <a:srgbClr val="7FBF0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AC46-48E0-8393-6E5B85CA3DF8}"/>
              </c:ext>
            </c:extLst>
          </c:dPt>
          <c:xVal>
            <c:numRef>
              <c:f>[0]!p4x</c:f>
              <c:numCache>
                <c:formatCode>General</c:formatCode>
                <c:ptCount val="2"/>
                <c:pt idx="0">
                  <c:v>0</c:v>
                </c:pt>
                <c:pt idx="1">
                  <c:v>-20.721789614177535</c:v>
                </c:pt>
              </c:numCache>
            </c:numRef>
          </c:xVal>
          <c:yVal>
            <c:numRef>
              <c:f>[0]!p4tz</c:f>
              <c:numCache>
                <c:formatCode>General</c:formatCode>
                <c:ptCount val="2"/>
                <c:pt idx="0">
                  <c:v>45</c:v>
                </c:pt>
                <c:pt idx="1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C46-48E0-8393-6E5B85CA3DF8}"/>
            </c:ext>
          </c:extLst>
        </c:ser>
        <c:ser>
          <c:idx val="4"/>
          <c:order val="4"/>
          <c:tx>
            <c:v>5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9BBB59">
                  <a:lumMod val="75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auto"/>
              <c:spPr>
                <a:solidFill>
                  <a:srgbClr val="77933C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AC46-48E0-8393-6E5B85CA3DF8}"/>
              </c:ext>
            </c:extLst>
          </c:dPt>
          <c:dPt>
            <c:idx val="1"/>
            <c:marker>
              <c:spPr>
                <a:solidFill>
                  <a:srgbClr val="01FE0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AC46-48E0-8393-6E5B85CA3DF8}"/>
              </c:ext>
            </c:extLst>
          </c:dPt>
          <c:xVal>
            <c:numRef>
              <c:f>[0]!p5x</c:f>
              <c:numCache>
                <c:formatCode>General</c:formatCode>
                <c:ptCount val="2"/>
                <c:pt idx="0">
                  <c:v>0</c:v>
                </c:pt>
                <c:pt idx="1">
                  <c:v>-14.347030137240539</c:v>
                </c:pt>
              </c:numCache>
            </c:numRef>
          </c:xVal>
          <c:yVal>
            <c:numRef>
              <c:f>[0]!p5tz</c:f>
              <c:numCache>
                <c:formatCode>General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C46-48E0-8393-6E5B85CA3DF8}"/>
            </c:ext>
          </c:extLst>
        </c:ser>
        <c:ser>
          <c:idx val="5"/>
          <c:order val="5"/>
          <c:tx>
            <c:v>6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1F497D">
                  <a:lumMod val="60000"/>
                  <a:lumOff val="40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auto"/>
              <c:spPr>
                <a:solidFill>
                  <a:srgbClr val="558ED5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AC46-48E0-8393-6E5B85CA3DF8}"/>
              </c:ext>
            </c:extLst>
          </c:dPt>
          <c:dPt>
            <c:idx val="1"/>
            <c:marker>
              <c:symbol val="circle"/>
              <c:size val="15"/>
              <c:spPr>
                <a:solidFill>
                  <a:srgbClr val="7C443F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AC46-48E0-8393-6E5B85CA3DF8}"/>
              </c:ext>
            </c:extLst>
          </c:dPt>
          <c:xVal>
            <c:numRef>
              <c:f>[0]!p6x</c:f>
              <c:numCache>
                <c:formatCode>General</c:formatCode>
                <c:ptCount val="2"/>
                <c:pt idx="0">
                  <c:v>0</c:v>
                </c:pt>
                <c:pt idx="1">
                  <c:v>1.5932994398268781</c:v>
                </c:pt>
              </c:numCache>
            </c:numRef>
          </c:xVal>
          <c:yVal>
            <c:numRef>
              <c:f>[0]!p6tz</c:f>
              <c:numCache>
                <c:formatCode>General</c:formatCode>
                <c:ptCount val="2"/>
                <c:pt idx="0">
                  <c:v>75</c:v>
                </c:pt>
                <c:pt idx="1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AC46-48E0-8393-6E5B85CA3DF8}"/>
            </c:ext>
          </c:extLst>
        </c:ser>
        <c:ser>
          <c:idx val="6"/>
          <c:order val="6"/>
          <c:tx>
            <c:v>7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1F497D">
                  <a:lumMod val="75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auto"/>
              <c:spPr>
                <a:solidFill>
                  <a:srgbClr val="17375E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AC46-48E0-8393-6E5B85CA3DF8}"/>
              </c:ext>
            </c:extLst>
          </c:dPt>
          <c:dPt>
            <c:idx val="1"/>
            <c:marker>
              <c:spPr>
                <a:solidFill>
                  <a:srgbClr val="00817E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AC46-48E0-8393-6E5B85CA3DF8}"/>
              </c:ext>
            </c:extLst>
          </c:dPt>
          <c:xVal>
            <c:numRef>
              <c:f>[0]!p7x</c:f>
              <c:numCache>
                <c:formatCode>General</c:formatCode>
                <c:ptCount val="2"/>
                <c:pt idx="0">
                  <c:v>0</c:v>
                </c:pt>
                <c:pt idx="1">
                  <c:v>13.399569122028803</c:v>
                </c:pt>
              </c:numCache>
            </c:numRef>
          </c:xVal>
          <c:yVal>
            <c:numRef>
              <c:f>[0]!p7tz</c:f>
              <c:numCache>
                <c:formatCode>General</c:formatCode>
                <c:ptCount val="2"/>
                <c:pt idx="0">
                  <c:v>90</c:v>
                </c:pt>
                <c:pt idx="1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AC46-48E0-8393-6E5B85CA3DF8}"/>
            </c:ext>
          </c:extLst>
        </c:ser>
        <c:ser>
          <c:idx val="7"/>
          <c:order val="7"/>
          <c:tx>
            <c:v>8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ysClr val="windowText" lastClr="000000"/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x"/>
              <c:size val="3"/>
              <c:spPr>
                <a:solidFill>
                  <a:srgbClr val="00000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AC46-48E0-8393-6E5B85CA3DF8}"/>
              </c:ext>
            </c:extLst>
          </c:dPt>
          <c:dPt>
            <c:idx val="1"/>
            <c:marker>
              <c:spPr>
                <a:solidFill>
                  <a:srgbClr val="81BFBE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AC46-48E0-8393-6E5B85CA3DF8}"/>
              </c:ext>
            </c:extLst>
          </c:dPt>
          <c:xVal>
            <c:numRef>
              <c:f>[0]!p8x</c:f>
              <c:numCache>
                <c:formatCode>General</c:formatCode>
                <c:ptCount val="2"/>
                <c:pt idx="0">
                  <c:v>0</c:v>
                </c:pt>
                <c:pt idx="1">
                  <c:v>13.374800130359549</c:v>
                </c:pt>
              </c:numCache>
            </c:numRef>
          </c:xVal>
          <c:yVal>
            <c:numRef>
              <c:f>[0]!p8tz</c:f>
              <c:numCache>
                <c:formatCode>General</c:formatCode>
                <c:ptCount val="2"/>
                <c:pt idx="0">
                  <c:v>105</c:v>
                </c:pt>
                <c:pt idx="1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AC46-48E0-8393-6E5B85CA3DF8}"/>
            </c:ext>
          </c:extLst>
        </c:ser>
        <c:ser>
          <c:idx val="8"/>
          <c:order val="8"/>
          <c:tx>
            <c:v>9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9BBB59"/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circle"/>
              <c:size val="2"/>
            </c:marker>
            <c:bubble3D val="0"/>
            <c:extLst>
              <c:ext xmlns:c16="http://schemas.microsoft.com/office/drawing/2014/chart" uri="{C3380CC4-5D6E-409C-BE32-E72D297353CC}">
                <c16:uniqueId val="{00000018-AC46-48E0-8393-6E5B85CA3DF8}"/>
              </c:ext>
            </c:extLst>
          </c:dPt>
          <c:dPt>
            <c:idx val="1"/>
            <c:marker>
              <c:spPr>
                <a:solidFill>
                  <a:srgbClr val="FF02FD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AC46-48E0-8393-6E5B85CA3DF8}"/>
              </c:ext>
            </c:extLst>
          </c:dPt>
          <c:xVal>
            <c:numRef>
              <c:f>[0]!p9x</c:f>
              <c:numCache>
                <c:formatCode>General</c:formatCode>
                <c:ptCount val="2"/>
                <c:pt idx="0">
                  <c:v>0</c:v>
                </c:pt>
                <c:pt idx="1">
                  <c:v>3.7801187824806615</c:v>
                </c:pt>
              </c:numCache>
            </c:numRef>
          </c:xVal>
          <c:yVal>
            <c:numRef>
              <c:f>[0]!p9tz</c:f>
              <c:numCache>
                <c:formatCode>General</c:formatCode>
                <c:ptCount val="2"/>
                <c:pt idx="0">
                  <c:v>120</c:v>
                </c:pt>
                <c:pt idx="1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AC46-48E0-8393-6E5B85CA3DF8}"/>
            </c:ext>
          </c:extLst>
        </c:ser>
        <c:ser>
          <c:idx val="9"/>
          <c:order val="9"/>
          <c:tx>
            <c:v>10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8064A2"/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1"/>
            <c:marker>
              <c:symbol val="circle"/>
              <c:size val="15"/>
              <c:spPr>
                <a:solidFill>
                  <a:srgbClr val="FF80BE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AC46-48E0-8393-6E5B85CA3DF8}"/>
              </c:ext>
            </c:extLst>
          </c:dPt>
          <c:xVal>
            <c:numRef>
              <c:f>[0]!p10x</c:f>
              <c:numCache>
                <c:formatCode>General</c:formatCode>
                <c:ptCount val="2"/>
                <c:pt idx="0">
                  <c:v>0</c:v>
                </c:pt>
                <c:pt idx="1">
                  <c:v>-7.4121423267690814</c:v>
                </c:pt>
              </c:numCache>
            </c:numRef>
          </c:xVal>
          <c:yVal>
            <c:numRef>
              <c:f>[0]!p10tz</c:f>
              <c:numCache>
                <c:formatCode>General</c:formatCode>
                <c:ptCount val="2"/>
                <c:pt idx="0">
                  <c:v>135</c:v>
                </c:pt>
                <c:pt idx="1">
                  <c:v>135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AC46-48E0-8393-6E5B85CA3DF8}"/>
            </c:ext>
          </c:extLst>
        </c:ser>
        <c:ser>
          <c:idx val="10"/>
          <c:order val="10"/>
          <c:tx>
            <c:v>11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4BACC6"/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pPr>
                <a:solidFill>
                  <a:srgbClr val="558ED5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AC46-48E0-8393-6E5B85CA3DF8}"/>
              </c:ext>
            </c:extLst>
          </c:dPt>
          <c:dPt>
            <c:idx val="1"/>
            <c:marker>
              <c:symbol val="circle"/>
              <c:size val="15"/>
              <c:spPr>
                <a:solidFill>
                  <a:srgbClr val="FE027E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AC46-48E0-8393-6E5B85CA3DF8}"/>
              </c:ext>
            </c:extLst>
          </c:dPt>
          <c:xVal>
            <c:numRef>
              <c:f>[0]!p11x</c:f>
              <c:numCache>
                <c:formatCode>General</c:formatCode>
                <c:ptCount val="2"/>
                <c:pt idx="0">
                  <c:v>0</c:v>
                </c:pt>
                <c:pt idx="1">
                  <c:v>-11.084101093056828</c:v>
                </c:pt>
              </c:numCache>
            </c:numRef>
          </c:xVal>
          <c:yVal>
            <c:numRef>
              <c:f>[0]!p11tz</c:f>
              <c:numCache>
                <c:formatCode>General</c:formatCode>
                <c:ptCount val="2"/>
                <c:pt idx="0">
                  <c:v>150</c:v>
                </c:pt>
                <c:pt idx="1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AC46-48E0-8393-6E5B85CA3DF8}"/>
            </c:ext>
          </c:extLst>
        </c:ser>
        <c:ser>
          <c:idx val="11"/>
          <c:order val="11"/>
          <c:tx>
            <c:v>12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F79646"/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0-AC46-48E0-8393-6E5B85CA3DF8}"/>
              </c:ext>
            </c:extLst>
          </c:dPt>
          <c:dPt>
            <c:idx val="1"/>
            <c:marker>
              <c:symbol val="circle"/>
              <c:size val="15"/>
              <c:spPr>
                <a:solidFill>
                  <a:srgbClr val="FF823E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AC46-48E0-8393-6E5B85CA3DF8}"/>
              </c:ext>
            </c:extLst>
          </c:dPt>
          <c:xVal>
            <c:numRef>
              <c:f>[0]!p12x</c:f>
              <c:numCache>
                <c:formatCode>General</c:formatCode>
                <c:ptCount val="2"/>
                <c:pt idx="0">
                  <c:v>0</c:v>
                </c:pt>
                <c:pt idx="1">
                  <c:v>-6.4072824681896652</c:v>
                </c:pt>
              </c:numCache>
            </c:numRef>
          </c:xVal>
          <c:yVal>
            <c:numRef>
              <c:f>[0]!p12tz</c:f>
              <c:numCache>
                <c:formatCode>General</c:formatCode>
                <c:ptCount val="2"/>
                <c:pt idx="0">
                  <c:v>165</c:v>
                </c:pt>
                <c:pt idx="1">
                  <c:v>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AC46-48E0-8393-6E5B85CA3DF8}"/>
            </c:ext>
          </c:extLst>
        </c:ser>
        <c:ser>
          <c:idx val="12"/>
          <c:order val="12"/>
          <c:tx>
            <c:v>13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4F81BD">
                  <a:tint val="65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1"/>
            <c:marker>
              <c:symbol val="circle"/>
              <c:size val="15"/>
              <c:spPr>
                <a:solidFill>
                  <a:srgbClr val="948A54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AC46-48E0-8393-6E5B85CA3DF8}"/>
              </c:ext>
            </c:extLst>
          </c:dPt>
          <c:xVal>
            <c:numRef>
              <c:f>[0]!p13x</c:f>
              <c:numCache>
                <c:formatCode>General</c:formatCode>
                <c:ptCount val="2"/>
                <c:pt idx="0">
                  <c:v>0</c:v>
                </c:pt>
                <c:pt idx="1">
                  <c:v>2.6768107986900591</c:v>
                </c:pt>
              </c:numCache>
            </c:numRef>
          </c:xVal>
          <c:yVal>
            <c:numRef>
              <c:f>[0]!p13tz</c:f>
              <c:numCache>
                <c:formatCode>General</c:formatCode>
                <c:ptCount val="2"/>
                <c:pt idx="0">
                  <c:v>180</c:v>
                </c:pt>
                <c:pt idx="1">
                  <c:v>180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AC46-48E0-8393-6E5B85CA3DF8}"/>
            </c:ext>
          </c:extLst>
        </c:ser>
        <c:ser>
          <c:idx val="13"/>
          <c:order val="13"/>
          <c:tx>
            <c:v>14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C0504D">
                  <a:tint val="65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5-AC46-48E0-8393-6E5B85CA3DF8}"/>
              </c:ext>
            </c:extLst>
          </c:dPt>
          <c:dPt>
            <c:idx val="1"/>
            <c:marker>
              <c:spPr>
                <a:solidFill>
                  <a:srgbClr val="31859C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AC46-48E0-8393-6E5B85CA3DF8}"/>
              </c:ext>
            </c:extLst>
          </c:dPt>
          <c:xVal>
            <c:numRef>
              <c:f>[0]!p14x</c:f>
              <c:numCache>
                <c:formatCode>General</c:formatCode>
                <c:ptCount val="2"/>
                <c:pt idx="0">
                  <c:v>0</c:v>
                </c:pt>
                <c:pt idx="1">
                  <c:v>8.309971769599656</c:v>
                </c:pt>
              </c:numCache>
            </c:numRef>
          </c:xVal>
          <c:yVal>
            <c:numRef>
              <c:f>[0]!p14tz</c:f>
              <c:numCache>
                <c:formatCode>General</c:formatCode>
                <c:ptCount val="2"/>
                <c:pt idx="0">
                  <c:v>195</c:v>
                </c:pt>
                <c:pt idx="1">
                  <c:v>195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AC46-48E0-8393-6E5B85CA3DF8}"/>
            </c:ext>
          </c:extLst>
        </c:ser>
        <c:ser>
          <c:idx val="14"/>
          <c:order val="14"/>
          <c:tx>
            <c:v>15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9BBB59">
                  <a:tint val="65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pPr>
                <a:solidFill>
                  <a:srgbClr val="D99694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AC46-48E0-8393-6E5B85CA3DF8}"/>
              </c:ext>
            </c:extLst>
          </c:dPt>
          <c:dPt>
            <c:idx val="1"/>
            <c:marker>
              <c:symbol val="circle"/>
              <c:size val="15"/>
              <c:spPr>
                <a:solidFill>
                  <a:srgbClr val="D99694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AC46-48E0-8393-6E5B85CA3DF8}"/>
              </c:ext>
            </c:extLst>
          </c:dPt>
          <c:xVal>
            <c:numRef>
              <c:f>[0]!p15x</c:f>
              <c:numCache>
                <c:formatCode>General</c:formatCode>
                <c:ptCount val="2"/>
                <c:pt idx="0">
                  <c:v>0</c:v>
                </c:pt>
                <c:pt idx="1">
                  <c:v>7.1536547696150521</c:v>
                </c:pt>
              </c:numCache>
            </c:numRef>
          </c:xVal>
          <c:yVal>
            <c:numRef>
              <c:f>[0]!p15tz</c:f>
              <c:numCache>
                <c:formatCode>General</c:formatCode>
                <c:ptCount val="2"/>
                <c:pt idx="0">
                  <c:v>210</c:v>
                </c:pt>
                <c:pt idx="1">
                  <c:v>210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AC46-48E0-8393-6E5B85CA3DF8}"/>
            </c:ext>
          </c:extLst>
        </c:ser>
        <c:ser>
          <c:idx val="15"/>
          <c:order val="15"/>
          <c:tx>
            <c:v>16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8064A2">
                  <a:tint val="65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square"/>
              <c:size val="3"/>
              <c:spPr>
                <a:solidFill>
                  <a:sysClr val="windowText" lastClr="00000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AC46-48E0-8393-6E5B85CA3DF8}"/>
              </c:ext>
            </c:extLst>
          </c:dPt>
          <c:dPt>
            <c:idx val="1"/>
            <c:marker>
              <c:symbol val="circle"/>
              <c:size val="15"/>
              <c:spPr>
                <a:solidFill>
                  <a:srgbClr val="A6A6A6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AC46-48E0-8393-6E5B85CA3DF8}"/>
              </c:ext>
            </c:extLst>
          </c:dPt>
          <c:xVal>
            <c:numRef>
              <c:f>[0]!p16x</c:f>
              <c:numCache>
                <c:formatCode>General</c:formatCode>
                <c:ptCount val="2"/>
                <c:pt idx="0">
                  <c:v>0</c:v>
                </c:pt>
                <c:pt idx="1">
                  <c:v>0.79078902692817332</c:v>
                </c:pt>
              </c:numCache>
            </c:numRef>
          </c:xVal>
          <c:yVal>
            <c:numRef>
              <c:f>[0]!p16tz</c:f>
              <c:numCache>
                <c:formatCode>General</c:formatCode>
                <c:ptCount val="2"/>
                <c:pt idx="0">
                  <c:v>225</c:v>
                </c:pt>
                <c:pt idx="1">
                  <c:v>225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AC46-48E0-8393-6E5B85CA3D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829568"/>
        <c:axId val="248830144"/>
      </c:scatterChart>
      <c:valAx>
        <c:axId val="248829568"/>
        <c:scaling>
          <c:orientation val="minMax"/>
          <c:max val="50"/>
          <c:min val="-50"/>
        </c:scaling>
        <c:delete val="1"/>
        <c:axPos val="b"/>
        <c:numFmt formatCode="General" sourceLinked="1"/>
        <c:majorTickMark val="out"/>
        <c:minorTickMark val="none"/>
        <c:tickLblPos val="nextTo"/>
        <c:crossAx val="248830144"/>
        <c:crosses val="autoZero"/>
        <c:crossBetween val="midCat"/>
      </c:valAx>
      <c:valAx>
        <c:axId val="248830144"/>
        <c:scaling>
          <c:orientation val="minMax"/>
          <c:max val="230"/>
          <c:min val="-5"/>
        </c:scaling>
        <c:delete val="0"/>
        <c:axPos val="l"/>
        <c:numFmt formatCode=";;;" sourceLinked="0"/>
        <c:majorTickMark val="none"/>
        <c:minorTickMark val="none"/>
        <c:tickLblPos val="nextTo"/>
        <c:crossAx val="24882956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25400" cmpd="thinThick"/>
  </c:spPr>
  <c:printSettings>
    <c:headerFooter/>
    <c:pageMargins b="0.75000000000000344" l="0.70000000000000062" r="0.70000000000000062" t="0.75000000000000344" header="0.30000000000000032" footer="0.30000000000000032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2778894460322899E-2"/>
          <c:y val="0"/>
          <c:w val="0.97433205454861749"/>
          <c:h val="1"/>
        </c:manualLayout>
      </c:layout>
      <c:scatterChart>
        <c:scatterStyle val="lineMarker"/>
        <c:varyColors val="0"/>
        <c:ser>
          <c:idx val="0"/>
          <c:order val="0"/>
          <c:tx>
            <c:v>1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00FF00"/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pPr>
                <a:solidFill>
                  <a:srgbClr val="0070C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A449-4475-91F4-FCFE4351A7D4}"/>
              </c:ext>
            </c:extLst>
          </c:dPt>
          <c:dPt>
            <c:idx val="1"/>
            <c:marker>
              <c:symbol val="circle"/>
              <c:size val="15"/>
              <c:spPr>
                <a:solidFill>
                  <a:srgbClr val="FF000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A449-4475-91F4-FCFE4351A7D4}"/>
              </c:ext>
            </c:extLst>
          </c:dPt>
          <c:xVal>
            <c:numRef>
              <c:f>[0]!p1tz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[0]!p1y</c:f>
              <c:numCache>
                <c:formatCode>General</c:formatCode>
                <c:ptCount val="2"/>
                <c:pt idx="0">
                  <c:v>0</c:v>
                </c:pt>
                <c:pt idx="1">
                  <c:v>-52.219366807427683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49-4475-91F4-FCFE4351A7D4}"/>
            </c:ext>
          </c:extLst>
        </c:ser>
        <c:ser>
          <c:idx val="1"/>
          <c:order val="1"/>
          <c:tx>
            <c:v>2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C0504D">
                  <a:lumMod val="60000"/>
                  <a:lumOff val="40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auto"/>
              <c:spPr>
                <a:solidFill>
                  <a:srgbClr val="D99694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A449-4475-91F4-FCFE4351A7D4}"/>
              </c:ext>
            </c:extLst>
          </c:dPt>
          <c:dPt>
            <c:idx val="1"/>
            <c:marker>
              <c:symbol val="circle"/>
              <c:size val="15"/>
              <c:spPr>
                <a:solidFill>
                  <a:srgbClr val="803F0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A449-4475-91F4-FCFE4351A7D4}"/>
              </c:ext>
            </c:extLst>
          </c:dPt>
          <c:xVal>
            <c:numRef>
              <c:f>[0]!p2tz</c:f>
              <c:numCache>
                <c:formatCode>General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xVal>
          <c:yVal>
            <c:numRef>
              <c:f>[0]!p2y</c:f>
              <c:numCache>
                <c:formatCode>General</c:formatCode>
                <c:ptCount val="2"/>
                <c:pt idx="0">
                  <c:v>0</c:v>
                </c:pt>
                <c:pt idx="1">
                  <c:v>-51.495789228422396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49-4475-91F4-FCFE4351A7D4}"/>
            </c:ext>
          </c:extLst>
        </c:ser>
        <c:ser>
          <c:idx val="2"/>
          <c:order val="2"/>
          <c:tx>
            <c:v>3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F79646">
                  <a:lumMod val="75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pPr>
                <a:solidFill>
                  <a:srgbClr val="E46C0A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A449-4475-91F4-FCFE4351A7D4}"/>
              </c:ext>
            </c:extLst>
          </c:dPt>
          <c:dPt>
            <c:idx val="1"/>
            <c:marker>
              <c:symbol val="circle"/>
              <c:size val="15"/>
              <c:spPr>
                <a:solidFill>
                  <a:srgbClr val="007F0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A449-4475-91F4-FCFE4351A7D4}"/>
              </c:ext>
            </c:extLst>
          </c:dPt>
          <c:xVal>
            <c:numRef>
              <c:f>[0]!p3tz</c:f>
              <c:numCache>
                <c:formatCode>General</c:formatCode>
                <c:ptCount val="2"/>
                <c:pt idx="0">
                  <c:v>30</c:v>
                </c:pt>
                <c:pt idx="1">
                  <c:v>30</c:v>
                </c:pt>
              </c:numCache>
            </c:numRef>
          </c:xVal>
          <c:yVal>
            <c:numRef>
              <c:f>[0]!p3y</c:f>
              <c:numCache>
                <c:formatCode>General</c:formatCode>
                <c:ptCount val="2"/>
                <c:pt idx="0">
                  <c:v>0</c:v>
                </c:pt>
                <c:pt idx="1">
                  <c:v>-45.808633252860481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449-4475-91F4-FCFE4351A7D4}"/>
            </c:ext>
          </c:extLst>
        </c:ser>
        <c:ser>
          <c:idx val="3"/>
          <c:order val="3"/>
          <c:tx>
            <c:v>4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8064A2">
                  <a:lumMod val="75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auto"/>
              <c:spPr>
                <a:solidFill>
                  <a:srgbClr val="604A7B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A449-4475-91F4-FCFE4351A7D4}"/>
              </c:ext>
            </c:extLst>
          </c:dPt>
          <c:dPt>
            <c:idx val="1"/>
            <c:marker>
              <c:symbol val="circle"/>
              <c:size val="15"/>
              <c:spPr>
                <a:solidFill>
                  <a:srgbClr val="7FBF0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A449-4475-91F4-FCFE4351A7D4}"/>
              </c:ext>
            </c:extLst>
          </c:dPt>
          <c:xVal>
            <c:numRef>
              <c:f>[0]!p4tz</c:f>
              <c:numCache>
                <c:formatCode>General</c:formatCode>
                <c:ptCount val="2"/>
                <c:pt idx="0">
                  <c:v>45</c:v>
                </c:pt>
                <c:pt idx="1">
                  <c:v>45</c:v>
                </c:pt>
              </c:numCache>
            </c:numRef>
          </c:xVal>
          <c:yVal>
            <c:numRef>
              <c:f>[0]!p4y</c:f>
              <c:numCache>
                <c:formatCode>General</c:formatCode>
                <c:ptCount val="2"/>
                <c:pt idx="0">
                  <c:v>0</c:v>
                </c:pt>
                <c:pt idx="1">
                  <c:v>-36.668263396513552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449-4475-91F4-FCFE4351A7D4}"/>
            </c:ext>
          </c:extLst>
        </c:ser>
        <c:ser>
          <c:idx val="4"/>
          <c:order val="4"/>
          <c:tx>
            <c:v>5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9BBB59">
                  <a:lumMod val="75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auto"/>
              <c:spPr>
                <a:solidFill>
                  <a:srgbClr val="77933C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A449-4475-91F4-FCFE4351A7D4}"/>
              </c:ext>
            </c:extLst>
          </c:dPt>
          <c:dPt>
            <c:idx val="1"/>
            <c:marker>
              <c:spPr>
                <a:solidFill>
                  <a:srgbClr val="01FE0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A449-4475-91F4-FCFE4351A7D4}"/>
              </c:ext>
            </c:extLst>
          </c:dPt>
          <c:xVal>
            <c:numRef>
              <c:f>[0]!p5tz</c:f>
              <c:numCache>
                <c:formatCode>General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xVal>
          <c:yVal>
            <c:numRef>
              <c:f>[0]!p5y</c:f>
              <c:numCache>
                <c:formatCode>General</c:formatCode>
                <c:ptCount val="2"/>
                <c:pt idx="0">
                  <c:v>0</c:v>
                </c:pt>
                <c:pt idx="1">
                  <c:v>-35.089535400512119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449-4475-91F4-FCFE4351A7D4}"/>
            </c:ext>
          </c:extLst>
        </c:ser>
        <c:ser>
          <c:idx val="5"/>
          <c:order val="5"/>
          <c:tx>
            <c:v>6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1F497D">
                  <a:lumMod val="60000"/>
                  <a:lumOff val="40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auto"/>
              <c:spPr>
                <a:solidFill>
                  <a:srgbClr val="558ED5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A449-4475-91F4-FCFE4351A7D4}"/>
              </c:ext>
            </c:extLst>
          </c:dPt>
          <c:dPt>
            <c:idx val="1"/>
            <c:marker>
              <c:symbol val="circle"/>
              <c:size val="15"/>
              <c:spPr>
                <a:solidFill>
                  <a:srgbClr val="7C443F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A449-4475-91F4-FCFE4351A7D4}"/>
              </c:ext>
            </c:extLst>
          </c:dPt>
          <c:xVal>
            <c:numRef>
              <c:f>[0]!p6tz</c:f>
              <c:numCache>
                <c:formatCode>General</c:formatCode>
                <c:ptCount val="2"/>
                <c:pt idx="0">
                  <c:v>75</c:v>
                </c:pt>
                <c:pt idx="1">
                  <c:v>75</c:v>
                </c:pt>
              </c:numCache>
            </c:numRef>
          </c:xVal>
          <c:yVal>
            <c:numRef>
              <c:f>[0]!p6y</c:f>
              <c:numCache>
                <c:formatCode>General</c:formatCode>
                <c:ptCount val="2"/>
                <c:pt idx="0">
                  <c:v>0</c:v>
                </c:pt>
                <c:pt idx="1">
                  <c:v>-34.263986535276118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A449-4475-91F4-FCFE4351A7D4}"/>
            </c:ext>
          </c:extLst>
        </c:ser>
        <c:ser>
          <c:idx val="6"/>
          <c:order val="6"/>
          <c:tx>
            <c:v>7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1F497D">
                  <a:lumMod val="75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auto"/>
              <c:spPr>
                <a:solidFill>
                  <a:srgbClr val="17375E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A449-4475-91F4-FCFE4351A7D4}"/>
              </c:ext>
            </c:extLst>
          </c:dPt>
          <c:dPt>
            <c:idx val="1"/>
            <c:marker>
              <c:spPr>
                <a:solidFill>
                  <a:srgbClr val="00817E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A449-4475-91F4-FCFE4351A7D4}"/>
              </c:ext>
            </c:extLst>
          </c:dPt>
          <c:xVal>
            <c:numRef>
              <c:f>[0]!p7tz</c:f>
              <c:numCache>
                <c:formatCode>General</c:formatCode>
                <c:ptCount val="2"/>
                <c:pt idx="0">
                  <c:v>90</c:v>
                </c:pt>
                <c:pt idx="1">
                  <c:v>90</c:v>
                </c:pt>
              </c:numCache>
            </c:numRef>
          </c:xVal>
          <c:yVal>
            <c:numRef>
              <c:f>[0]!p7y</c:f>
              <c:numCache>
                <c:formatCode>General</c:formatCode>
                <c:ptCount val="2"/>
                <c:pt idx="0">
                  <c:v>0</c:v>
                </c:pt>
                <c:pt idx="1">
                  <c:v>-28.1588325106936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A449-4475-91F4-FCFE4351A7D4}"/>
            </c:ext>
          </c:extLst>
        </c:ser>
        <c:ser>
          <c:idx val="7"/>
          <c:order val="7"/>
          <c:tx>
            <c:v>8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ysClr val="windowText" lastClr="000000"/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x"/>
              <c:size val="3"/>
              <c:spPr>
                <a:solidFill>
                  <a:srgbClr val="00000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A449-4475-91F4-FCFE4351A7D4}"/>
              </c:ext>
            </c:extLst>
          </c:dPt>
          <c:dPt>
            <c:idx val="1"/>
            <c:marker>
              <c:spPr>
                <a:solidFill>
                  <a:srgbClr val="81BFBE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A449-4475-91F4-FCFE4351A7D4}"/>
              </c:ext>
            </c:extLst>
          </c:dPt>
          <c:xVal>
            <c:numRef>
              <c:f>[0]!p8tz</c:f>
              <c:numCache>
                <c:formatCode>General</c:formatCode>
                <c:ptCount val="2"/>
                <c:pt idx="0">
                  <c:v>105</c:v>
                </c:pt>
                <c:pt idx="1">
                  <c:v>105</c:v>
                </c:pt>
              </c:numCache>
            </c:numRef>
          </c:xVal>
          <c:yVal>
            <c:numRef>
              <c:f>[0]!p8y</c:f>
              <c:numCache>
                <c:formatCode>General</c:formatCode>
                <c:ptCount val="2"/>
                <c:pt idx="0">
                  <c:v>0</c:v>
                </c:pt>
                <c:pt idx="1">
                  <c:v>-25.137374879823692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A449-4475-91F4-FCFE4351A7D4}"/>
            </c:ext>
          </c:extLst>
        </c:ser>
        <c:ser>
          <c:idx val="8"/>
          <c:order val="8"/>
          <c:tx>
            <c:v>9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9BBB59"/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circle"/>
              <c:size val="2"/>
            </c:marker>
            <c:bubble3D val="0"/>
            <c:extLst>
              <c:ext xmlns:c16="http://schemas.microsoft.com/office/drawing/2014/chart" uri="{C3380CC4-5D6E-409C-BE32-E72D297353CC}">
                <c16:uniqueId val="{00000018-A449-4475-91F4-FCFE4351A7D4}"/>
              </c:ext>
            </c:extLst>
          </c:dPt>
          <c:dPt>
            <c:idx val="1"/>
            <c:marker>
              <c:spPr>
                <a:solidFill>
                  <a:srgbClr val="FF02FD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A449-4475-91F4-FCFE4351A7D4}"/>
              </c:ext>
            </c:extLst>
          </c:dPt>
          <c:xVal>
            <c:numRef>
              <c:f>[0]!p9tz</c:f>
              <c:numCache>
                <c:formatCode>General</c:formatCode>
                <c:ptCount val="2"/>
                <c:pt idx="0">
                  <c:v>120</c:v>
                </c:pt>
                <c:pt idx="1">
                  <c:v>120</c:v>
                </c:pt>
              </c:numCache>
            </c:numRef>
          </c:xVal>
          <c:yVal>
            <c:numRef>
              <c:f>[0]!p9y</c:f>
              <c:numCache>
                <c:formatCode>General</c:formatCode>
                <c:ptCount val="2"/>
                <c:pt idx="0">
                  <c:v>0</c:v>
                </c:pt>
                <c:pt idx="1">
                  <c:v>-25.827141216000339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A449-4475-91F4-FCFE4351A7D4}"/>
            </c:ext>
          </c:extLst>
        </c:ser>
        <c:ser>
          <c:idx val="9"/>
          <c:order val="9"/>
          <c:tx>
            <c:v>10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8064A2"/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1"/>
            <c:marker>
              <c:symbol val="circle"/>
              <c:size val="15"/>
              <c:spPr>
                <a:solidFill>
                  <a:srgbClr val="FF80BE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A449-4475-91F4-FCFE4351A7D4}"/>
              </c:ext>
            </c:extLst>
          </c:dPt>
          <c:xVal>
            <c:numRef>
              <c:f>[0]!p10tz</c:f>
              <c:numCache>
                <c:formatCode>General</c:formatCode>
                <c:ptCount val="2"/>
                <c:pt idx="0">
                  <c:v>135</c:v>
                </c:pt>
                <c:pt idx="1">
                  <c:v>135</c:v>
                </c:pt>
              </c:numCache>
            </c:numRef>
          </c:xVal>
          <c:yVal>
            <c:numRef>
              <c:f>[0]!p10y</c:f>
              <c:numCache>
                <c:formatCode>General</c:formatCode>
                <c:ptCount val="2"/>
                <c:pt idx="0">
                  <c:v>0</c:v>
                </c:pt>
                <c:pt idx="1">
                  <c:v>-22.842505796547002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A449-4475-91F4-FCFE4351A7D4}"/>
            </c:ext>
          </c:extLst>
        </c:ser>
        <c:ser>
          <c:idx val="10"/>
          <c:order val="10"/>
          <c:tx>
            <c:v>11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4BACC6"/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pPr>
                <a:solidFill>
                  <a:srgbClr val="558ED5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A449-4475-91F4-FCFE4351A7D4}"/>
              </c:ext>
            </c:extLst>
          </c:dPt>
          <c:dPt>
            <c:idx val="1"/>
            <c:marker>
              <c:symbol val="circle"/>
              <c:size val="15"/>
              <c:spPr>
                <a:solidFill>
                  <a:srgbClr val="FE027E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A449-4475-91F4-FCFE4351A7D4}"/>
              </c:ext>
            </c:extLst>
          </c:dPt>
          <c:xVal>
            <c:numRef>
              <c:f>[0]!p11tz</c:f>
              <c:numCache>
                <c:formatCode>General</c:formatCode>
                <c:ptCount val="2"/>
                <c:pt idx="0">
                  <c:v>150</c:v>
                </c:pt>
                <c:pt idx="1">
                  <c:v>150</c:v>
                </c:pt>
              </c:numCache>
            </c:numRef>
          </c:xVal>
          <c:yVal>
            <c:numRef>
              <c:f>[0]!p11y</c:f>
              <c:numCache>
                <c:formatCode>General</c:formatCode>
                <c:ptCount val="2"/>
                <c:pt idx="0">
                  <c:v>0</c:v>
                </c:pt>
                <c:pt idx="1">
                  <c:v>-19.198450935739821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A449-4475-91F4-FCFE4351A7D4}"/>
            </c:ext>
          </c:extLst>
        </c:ser>
        <c:ser>
          <c:idx val="11"/>
          <c:order val="11"/>
          <c:tx>
            <c:v>12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F79646"/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0-A449-4475-91F4-FCFE4351A7D4}"/>
              </c:ext>
            </c:extLst>
          </c:dPt>
          <c:dPt>
            <c:idx val="1"/>
            <c:marker>
              <c:symbol val="circle"/>
              <c:size val="15"/>
              <c:spPr>
                <a:solidFill>
                  <a:srgbClr val="FF823E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A449-4475-91F4-FCFE4351A7D4}"/>
              </c:ext>
            </c:extLst>
          </c:dPt>
          <c:xVal>
            <c:numRef>
              <c:f>[0]!p12tz</c:f>
              <c:numCache>
                <c:formatCode>General</c:formatCode>
                <c:ptCount val="2"/>
                <c:pt idx="0">
                  <c:v>165</c:v>
                </c:pt>
                <c:pt idx="1">
                  <c:v>165</c:v>
                </c:pt>
              </c:numCache>
            </c:numRef>
          </c:xVal>
          <c:yVal>
            <c:numRef>
              <c:f>[0]!p12y</c:f>
              <c:numCache>
                <c:formatCode>General</c:formatCode>
                <c:ptCount val="2"/>
                <c:pt idx="0">
                  <c:v>0</c:v>
                </c:pt>
                <c:pt idx="1">
                  <c:v>-19.501267840475386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A449-4475-91F4-FCFE4351A7D4}"/>
            </c:ext>
          </c:extLst>
        </c:ser>
        <c:ser>
          <c:idx val="12"/>
          <c:order val="12"/>
          <c:tx>
            <c:v>13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4F81BD">
                  <a:tint val="65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1"/>
            <c:marker>
              <c:symbol val="circle"/>
              <c:size val="15"/>
              <c:spPr>
                <a:solidFill>
                  <a:srgbClr val="948A54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A449-4475-91F4-FCFE4351A7D4}"/>
              </c:ext>
            </c:extLst>
          </c:dPt>
          <c:xVal>
            <c:numRef>
              <c:f>[0]!p13tz</c:f>
              <c:numCache>
                <c:formatCode>General</c:formatCode>
                <c:ptCount val="2"/>
                <c:pt idx="0">
                  <c:v>180</c:v>
                </c:pt>
                <c:pt idx="1">
                  <c:v>180</c:v>
                </c:pt>
              </c:numCache>
            </c:numRef>
          </c:xVal>
          <c:yVal>
            <c:numRef>
              <c:f>[0]!p13y</c:f>
              <c:numCache>
                <c:formatCode>General</c:formatCode>
                <c:ptCount val="2"/>
                <c:pt idx="0">
                  <c:v>0</c:v>
                </c:pt>
                <c:pt idx="1">
                  <c:v>-18.872265128273465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A449-4475-91F4-FCFE4351A7D4}"/>
            </c:ext>
          </c:extLst>
        </c:ser>
        <c:ser>
          <c:idx val="13"/>
          <c:order val="13"/>
          <c:tx>
            <c:v>14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C0504D">
                  <a:tint val="65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5-A449-4475-91F4-FCFE4351A7D4}"/>
              </c:ext>
            </c:extLst>
          </c:dPt>
          <c:dPt>
            <c:idx val="1"/>
            <c:marker>
              <c:spPr>
                <a:solidFill>
                  <a:srgbClr val="31859C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A449-4475-91F4-FCFE4351A7D4}"/>
              </c:ext>
            </c:extLst>
          </c:dPt>
          <c:xVal>
            <c:numRef>
              <c:f>[0]!p14tz</c:f>
              <c:numCache>
                <c:formatCode>General</c:formatCode>
                <c:ptCount val="2"/>
                <c:pt idx="0">
                  <c:v>195</c:v>
                </c:pt>
                <c:pt idx="1">
                  <c:v>195</c:v>
                </c:pt>
              </c:numCache>
            </c:numRef>
          </c:xVal>
          <c:yVal>
            <c:numRef>
              <c:f>[0]!p14y</c:f>
              <c:numCache>
                <c:formatCode>General</c:formatCode>
                <c:ptCount val="2"/>
                <c:pt idx="0">
                  <c:v>0</c:v>
                </c:pt>
                <c:pt idx="1">
                  <c:v>-15.681209947407792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A449-4475-91F4-FCFE4351A7D4}"/>
            </c:ext>
          </c:extLst>
        </c:ser>
        <c:ser>
          <c:idx val="14"/>
          <c:order val="14"/>
          <c:tx>
            <c:v>15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9BBB59">
                  <a:tint val="65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pPr>
                <a:solidFill>
                  <a:srgbClr val="D99694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A449-4475-91F4-FCFE4351A7D4}"/>
              </c:ext>
            </c:extLst>
          </c:dPt>
          <c:dPt>
            <c:idx val="1"/>
            <c:marker>
              <c:symbol val="circle"/>
              <c:size val="15"/>
              <c:spPr>
                <a:solidFill>
                  <a:srgbClr val="D99694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A449-4475-91F4-FCFE4351A7D4}"/>
              </c:ext>
            </c:extLst>
          </c:dPt>
          <c:xVal>
            <c:numRef>
              <c:f>[0]!p15tz</c:f>
              <c:numCache>
                <c:formatCode>General</c:formatCode>
                <c:ptCount val="2"/>
                <c:pt idx="0">
                  <c:v>210</c:v>
                </c:pt>
                <c:pt idx="1">
                  <c:v>210</c:v>
                </c:pt>
              </c:numCache>
            </c:numRef>
          </c:xVal>
          <c:yVal>
            <c:numRef>
              <c:f>[0]!p15y</c:f>
              <c:numCache>
                <c:formatCode>General</c:formatCode>
                <c:ptCount val="2"/>
                <c:pt idx="0">
                  <c:v>0</c:v>
                </c:pt>
                <c:pt idx="1">
                  <c:v>-14.939817050828323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A449-4475-91F4-FCFE4351A7D4}"/>
            </c:ext>
          </c:extLst>
        </c:ser>
        <c:ser>
          <c:idx val="15"/>
          <c:order val="15"/>
          <c:tx>
            <c:v>16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8064A2">
                  <a:tint val="65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square"/>
              <c:size val="3"/>
              <c:spPr>
                <a:solidFill>
                  <a:sysClr val="windowText" lastClr="00000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A449-4475-91F4-FCFE4351A7D4}"/>
              </c:ext>
            </c:extLst>
          </c:dPt>
          <c:dPt>
            <c:idx val="1"/>
            <c:marker>
              <c:symbol val="circle"/>
              <c:size val="15"/>
              <c:spPr>
                <a:solidFill>
                  <a:srgbClr val="A6A6A6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A449-4475-91F4-FCFE4351A7D4}"/>
              </c:ext>
            </c:extLst>
          </c:dPt>
          <c:xVal>
            <c:numRef>
              <c:f>[0]!p16tz</c:f>
              <c:numCache>
                <c:formatCode>General</c:formatCode>
                <c:ptCount val="2"/>
                <c:pt idx="0">
                  <c:v>225</c:v>
                </c:pt>
                <c:pt idx="1">
                  <c:v>225</c:v>
                </c:pt>
              </c:numCache>
            </c:numRef>
          </c:xVal>
          <c:yVal>
            <c:numRef>
              <c:f>[0]!p16y</c:f>
              <c:numCache>
                <c:formatCode>General</c:formatCode>
                <c:ptCount val="2"/>
                <c:pt idx="0">
                  <c:v>0</c:v>
                </c:pt>
                <c:pt idx="1">
                  <c:v>-15.475643382841795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A449-4475-91F4-FCFE4351A7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688128"/>
        <c:axId val="257688704"/>
      </c:scatterChart>
      <c:valAx>
        <c:axId val="257688128"/>
        <c:scaling>
          <c:orientation val="minMax"/>
          <c:max val="230"/>
          <c:min val="-5"/>
        </c:scaling>
        <c:delete val="0"/>
        <c:axPos val="b"/>
        <c:numFmt formatCode=";;;" sourceLinked="0"/>
        <c:majorTickMark val="none"/>
        <c:minorTickMark val="none"/>
        <c:tickLblPos val="nextTo"/>
        <c:crossAx val="257688704"/>
        <c:crosses val="autoZero"/>
        <c:crossBetween val="midCat"/>
      </c:valAx>
      <c:valAx>
        <c:axId val="257688704"/>
        <c:scaling>
          <c:orientation val="minMax"/>
          <c:max val="5"/>
          <c:min val="-65"/>
        </c:scaling>
        <c:delete val="1"/>
        <c:axPos val="l"/>
        <c:numFmt formatCode="General" sourceLinked="1"/>
        <c:majorTickMark val="out"/>
        <c:minorTickMark val="none"/>
        <c:tickLblPos val="nextTo"/>
        <c:crossAx val="25768812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25400" cmpd="thinThick"/>
  </c:spPr>
  <c:printSettings>
    <c:headerFooter/>
    <c:pageMargins b="0.75000000000000344" l="0.70000000000000062" r="0.70000000000000062" t="0.75000000000000344" header="0.30000000000000032" footer="0.30000000000000032"/>
    <c:pageSetup/>
  </c:printSettings>
  <c:userShapes r:id="rId1"/>
</c:chartSpace>
</file>

<file path=xl/ctrlProps/ctrlProp1.xml><?xml version="1.0" encoding="utf-8"?>
<formControlPr xmlns="http://schemas.microsoft.com/office/spreadsheetml/2009/9/main" objectType="Radio" checked="Checked" firstButton="1" fmlaLink="$B$9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Radio" checked="Checked" firstButton="1" fmlaLink="$B$8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22</xdr:col>
      <xdr:colOff>387962</xdr:colOff>
      <xdr:row>5</xdr:row>
      <xdr:rowOff>17295</xdr:rowOff>
    </xdr:from>
    <xdr:ext cx="1309219" cy="484955"/>
    <xdr:sp macro="[0]!Rese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2476053" y="1454704"/>
          <a:ext cx="1309219" cy="484955"/>
        </a:xfrm>
        <a:prstGeom prst="roundRect">
          <a:avLst/>
        </a:prstGeom>
        <a:ln>
          <a:solidFill>
            <a:srgbClr val="0000FF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>
          <a:spAutoFit/>
        </a:bodyPr>
        <a:lstStyle/>
        <a:p>
          <a:pPr algn="ctr"/>
          <a:r>
            <a:rPr lang="en-AU" sz="2800" b="1">
              <a:solidFill>
                <a:srgbClr val="FF0000"/>
              </a:solidFill>
            </a:rPr>
            <a:t>Reset</a:t>
          </a:r>
        </a:p>
      </xdr:txBody>
    </xdr:sp>
    <xdr:clientData/>
  </xdr:oneCellAnchor>
  <xdr:twoCellAnchor>
    <xdr:from>
      <xdr:col>26</xdr:col>
      <xdr:colOff>281654</xdr:colOff>
      <xdr:row>19</xdr:row>
      <xdr:rowOff>44449</xdr:rowOff>
    </xdr:from>
    <xdr:to>
      <xdr:col>33</xdr:col>
      <xdr:colOff>18760</xdr:colOff>
      <xdr:row>25</xdr:row>
      <xdr:rowOff>6350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12311729" y="4825999"/>
          <a:ext cx="3470906" cy="819151"/>
          <a:chOff x="1878928" y="410506"/>
          <a:chExt cx="1956926" cy="435857"/>
        </a:xfrm>
      </xdr:grpSpPr>
      <xdr:pic macro="[0]!Earth">
        <xdr:nvPicPr>
          <xdr:cNvPr id="9" name="Picture 8" descr="Earth.png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2231756" y="415721"/>
            <a:ext cx="297973" cy="244148"/>
          </a:xfrm>
          <a:prstGeom prst="rect">
            <a:avLst/>
          </a:prstGeom>
        </xdr:spPr>
      </xdr:pic>
      <xdr:pic macro="[0]!Moon">
        <xdr:nvPicPr>
          <xdr:cNvPr id="10" name="Picture 9" descr="Moon.png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1878928" y="410506"/>
            <a:ext cx="304077" cy="254577"/>
          </a:xfrm>
          <a:prstGeom prst="rect">
            <a:avLst/>
          </a:prstGeom>
        </xdr:spPr>
      </xdr:pic>
      <xdr:pic macro="[0]!Sun">
        <xdr:nvPicPr>
          <xdr:cNvPr id="11" name="Picture 10" descr="Sun.png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2939917" y="414986"/>
            <a:ext cx="292878" cy="245618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7" name="ScrollBar1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000-000003040000}"/>
                  </a:ext>
                </a:extLst>
              </xdr:cNvPr>
              <xdr:cNvSpPr/>
            </xdr:nvSpPr>
            <xdr:spPr>
              <a:xfrm>
                <a:off x="1883229" y="664028"/>
                <a:ext cx="1952625" cy="182335"/>
              </a:xfrm>
              <a:prstGeom prst="rect">
                <a:avLst/>
              </a:prstGeom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120609</xdr:colOff>
          <xdr:row>29</xdr:row>
          <xdr:rowOff>93355</xdr:rowOff>
        </xdr:from>
        <xdr:to>
          <xdr:col>24</xdr:col>
          <xdr:colOff>507134</xdr:colOff>
          <xdr:row>35</xdr:row>
          <xdr:rowOff>107706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pSpPr/>
          </xdr:nvGrpSpPr>
          <xdr:grpSpPr>
            <a:xfrm>
              <a:off x="9188409" y="6303655"/>
              <a:ext cx="2282000" cy="871601"/>
              <a:chOff x="1940378" y="2171700"/>
              <a:chExt cx="1038225" cy="661307"/>
            </a:xfrm>
          </xdr:grpSpPr>
          <xdr:sp macro="" textlink="">
            <xdr:nvSpPr>
              <xdr:cNvPr id="1040" name="Option Button 16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000-000010040000}"/>
                  </a:ext>
                </a:extLst>
              </xdr:cNvPr>
              <xdr:cNvSpPr/>
            </xdr:nvSpPr>
            <xdr:spPr>
              <a:xfrm>
                <a:off x="1949904" y="2247900"/>
                <a:ext cx="1009650" cy="19730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AU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Black</a:t>
                </a:r>
              </a:p>
            </xdr:txBody>
          </xdr:sp>
          <xdr:sp macro="" textlink="">
            <xdr:nvSpPr>
              <xdr:cNvPr id="1041" name="Option Button 17" hidden="1">
                <a:extLst>
                  <a:ext uri="{63B3BB69-23CF-44E3-9099-C40C66FF867C}">
                    <a14:compatExt spid="_x0000_s1041"/>
                  </a:ext>
                  <a:ext uri="{FF2B5EF4-FFF2-40B4-BE49-F238E27FC236}">
                    <a16:creationId xmlns:a16="http://schemas.microsoft.com/office/drawing/2014/main" id="{00000000-0008-0000-0000-000011040000}"/>
                  </a:ext>
                </a:extLst>
              </xdr:cNvPr>
              <xdr:cNvSpPr/>
            </xdr:nvSpPr>
            <xdr:spPr>
              <a:xfrm>
                <a:off x="1949904" y="2417989"/>
                <a:ext cx="1009650" cy="206829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AU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Grey</a:t>
                </a:r>
              </a:p>
            </xdr:txBody>
          </xdr:sp>
          <xdr:sp macro="" textlink="">
            <xdr:nvSpPr>
              <xdr:cNvPr id="1042" name="Option Button 18" hidden="1">
                <a:extLst>
                  <a:ext uri="{63B3BB69-23CF-44E3-9099-C40C66FF867C}">
                    <a14:compatExt spid="_x0000_s1042"/>
                  </a:ext>
                  <a:ext uri="{FF2B5EF4-FFF2-40B4-BE49-F238E27FC236}">
                    <a16:creationId xmlns:a16="http://schemas.microsoft.com/office/drawing/2014/main" id="{00000000-0008-0000-0000-000012040000}"/>
                  </a:ext>
                </a:extLst>
              </xdr:cNvPr>
              <xdr:cNvSpPr/>
            </xdr:nvSpPr>
            <xdr:spPr>
              <a:xfrm>
                <a:off x="1949904" y="2605768"/>
                <a:ext cx="1009650" cy="208188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AU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None</a:t>
                </a:r>
              </a:p>
            </xdr:txBody>
          </xdr:sp>
          <xdr:sp macro="" textlink="">
            <xdr:nvSpPr>
              <xdr:cNvPr id="1043" name="Group Box 19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000-000013040000}"/>
                  </a:ext>
                </a:extLst>
              </xdr:cNvPr>
              <xdr:cNvSpPr/>
            </xdr:nvSpPr>
            <xdr:spPr>
              <a:xfrm>
                <a:off x="1940378" y="2171700"/>
                <a:ext cx="1038225" cy="661307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AU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Wire Color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390525</xdr:colOff>
          <xdr:row>19</xdr:row>
          <xdr:rowOff>104775</xdr:rowOff>
        </xdr:from>
        <xdr:to>
          <xdr:col>25</xdr:col>
          <xdr:colOff>257175</xdr:colOff>
          <xdr:row>26</xdr:row>
          <xdr:rowOff>66675</xdr:rowOff>
        </xdr:to>
        <xdr:sp macro="" textlink="">
          <xdr:nvSpPr>
            <xdr:cNvPr id="1033" name="Group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Pendulum Color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457200</xdr:colOff>
          <xdr:row>20</xdr:row>
          <xdr:rowOff>28575</xdr:rowOff>
        </xdr:from>
        <xdr:to>
          <xdr:col>25</xdr:col>
          <xdr:colOff>238125</xdr:colOff>
          <xdr:row>21</xdr:row>
          <xdr:rowOff>95250</xdr:rowOff>
        </xdr:to>
        <xdr:sp macro="" textlink="">
          <xdr:nvSpPr>
            <xdr:cNvPr id="1050" name="Option 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Colored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457200</xdr:colOff>
          <xdr:row>21</xdr:row>
          <xdr:rowOff>95250</xdr:rowOff>
        </xdr:from>
        <xdr:to>
          <xdr:col>25</xdr:col>
          <xdr:colOff>238125</xdr:colOff>
          <xdr:row>23</xdr:row>
          <xdr:rowOff>19050</xdr:rowOff>
        </xdr:to>
        <xdr:sp macro="" textlink="">
          <xdr:nvSpPr>
            <xdr:cNvPr id="1051" name="Option 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Grey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457200</xdr:colOff>
          <xdr:row>23</xdr:row>
          <xdr:rowOff>28575</xdr:rowOff>
        </xdr:from>
        <xdr:to>
          <xdr:col>25</xdr:col>
          <xdr:colOff>238125</xdr:colOff>
          <xdr:row>24</xdr:row>
          <xdr:rowOff>95250</xdr:rowOff>
        </xdr:to>
        <xdr:sp macro="" textlink="">
          <xdr:nvSpPr>
            <xdr:cNvPr id="1052" name="Option 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Zebra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0</xdr:colOff>
      <xdr:row>2</xdr:row>
      <xdr:rowOff>86591</xdr:rowOff>
    </xdr:from>
    <xdr:to>
      <xdr:col>36</xdr:col>
      <xdr:colOff>398318</xdr:colOff>
      <xdr:row>82</xdr:row>
      <xdr:rowOff>48785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533400" y="524741"/>
          <a:ext cx="17228993" cy="13325769"/>
          <a:chOff x="2961409" y="467591"/>
          <a:chExt cx="17335500" cy="13193285"/>
        </a:xfrm>
      </xdr:grpSpPr>
      <xdr:graphicFrame macro="">
        <xdr:nvGraphicFramePr>
          <xdr:cNvPr id="6" name="Chart 1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GraphicFramePr/>
        </xdr:nvGraphicFramePr>
        <xdr:xfrm>
          <a:off x="2961409" y="9954898"/>
          <a:ext cx="5900723" cy="37059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18" name="Chart 2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GraphicFramePr>
            <a:graphicFrameLocks/>
          </xdr:cNvGraphicFramePr>
        </xdr:nvGraphicFramePr>
        <xdr:xfrm>
          <a:off x="2961409" y="467591"/>
          <a:ext cx="5900723" cy="92701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20" name="Chart 3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GraphicFramePr>
            <a:graphicFrameLocks/>
          </xdr:cNvGraphicFramePr>
        </xdr:nvGraphicFramePr>
        <xdr:xfrm>
          <a:off x="9074727" y="9954898"/>
          <a:ext cx="11222182" cy="37059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oneCellAnchor>
    <xdr:from>
      <xdr:col>17</xdr:col>
      <xdr:colOff>495300</xdr:colOff>
      <xdr:row>5</xdr:row>
      <xdr:rowOff>8635</xdr:rowOff>
    </xdr:from>
    <xdr:ext cx="2441864" cy="484955"/>
    <xdr:sp macro="[0]!Start_Stop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9899073" y="1446044"/>
          <a:ext cx="2441864" cy="484955"/>
        </a:xfrm>
        <a:prstGeom prst="roundRect">
          <a:avLst/>
        </a:prstGeom>
        <a:ln>
          <a:solidFill>
            <a:srgbClr val="0000FF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0" tIns="0" rIns="0" bIns="0" rtlCol="0" anchor="ctr">
          <a:spAutoFit/>
        </a:bodyPr>
        <a:lstStyle/>
        <a:p>
          <a:pPr algn="ctr"/>
          <a:r>
            <a:rPr lang="en-AU" sz="2800" b="1">
              <a:solidFill>
                <a:srgbClr val="FF0000"/>
              </a:solidFill>
            </a:rPr>
            <a:t>Start/Stop</a:t>
          </a:r>
        </a:p>
      </xdr:txBody>
    </xdr:sp>
    <xdr:clientData/>
  </xdr:oneCellAnchor>
  <xdr:oneCellAnchor>
    <xdr:from>
      <xdr:col>17</xdr:col>
      <xdr:colOff>502227</xdr:colOff>
      <xdr:row>2</xdr:row>
      <xdr:rowOff>0</xdr:rowOff>
    </xdr:from>
    <xdr:ext cx="10462672" cy="751424"/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9906000" y="381000"/>
          <a:ext cx="10462672" cy="75142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r>
            <a:rPr lang="en-AU" sz="4800" b="1">
              <a:solidFill>
                <a:srgbClr val="0000FF"/>
              </a:solidFill>
            </a:rPr>
            <a:t>Dynamically Defined Dancing Pendulums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457200</xdr:colOff>
          <xdr:row>24</xdr:row>
          <xdr:rowOff>95250</xdr:rowOff>
        </xdr:from>
        <xdr:to>
          <xdr:col>25</xdr:col>
          <xdr:colOff>238125</xdr:colOff>
          <xdr:row>26</xdr:row>
          <xdr:rowOff>19050</xdr:rowOff>
        </xdr:to>
        <xdr:sp macro="" textlink="">
          <xdr:nvSpPr>
            <xdr:cNvPr id="1053" name="Option 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Blend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0.75988</cdr:x>
      <cdr:y>0.87358</cdr:y>
    </cdr:from>
    <cdr:to>
      <cdr:x>0.98826</cdr:x>
      <cdr:y>0.97556</cdr:y>
    </cdr:to>
    <cdr:sp macro="" textlink="">
      <cdr:nvSpPr>
        <cdr:cNvPr id="2" name="Rectangle 1"/>
        <cdr:cNvSpPr/>
      </cdr:nvSpPr>
      <cdr:spPr>
        <a:xfrm xmlns:a="http://schemas.openxmlformats.org/drawingml/2006/main">
          <a:off x="4483825" y="3237466"/>
          <a:ext cx="1347625" cy="377936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2">
          <a:schemeClr val="dk1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2000" b="1"/>
            <a:t>End View</a:t>
          </a:r>
          <a:endParaRPr lang="en-US" b="1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0.7509</cdr:x>
      <cdr:y>0.01031</cdr:y>
    </cdr:from>
    <cdr:to>
      <cdr:x>0.97928</cdr:x>
      <cdr:y>0.05486</cdr:y>
    </cdr:to>
    <cdr:sp macro="" textlink="">
      <cdr:nvSpPr>
        <cdr:cNvPr id="2" name="Rectangle 1"/>
        <cdr:cNvSpPr/>
      </cdr:nvSpPr>
      <cdr:spPr>
        <a:xfrm xmlns:a="http://schemas.openxmlformats.org/drawingml/2006/main">
          <a:off x="4430862" y="100566"/>
          <a:ext cx="1347626" cy="43461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2">
          <a:schemeClr val="dk1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2000" b="1"/>
            <a:t>Top View</a:t>
          </a:r>
          <a:endParaRPr lang="en-US" b="1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0.8225</cdr:x>
      <cdr:y>0.88403</cdr:y>
    </cdr:from>
    <cdr:to>
      <cdr:x>0.99147</cdr:x>
      <cdr:y>0.97761</cdr:y>
    </cdr:to>
    <cdr:sp macro="" textlink="">
      <cdr:nvSpPr>
        <cdr:cNvPr id="2" name="Rectangle 1"/>
        <cdr:cNvSpPr/>
      </cdr:nvSpPr>
      <cdr:spPr>
        <a:xfrm xmlns:a="http://schemas.openxmlformats.org/drawingml/2006/main">
          <a:off x="8988137" y="3276193"/>
          <a:ext cx="1846422" cy="346808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2">
          <a:schemeClr val="dk1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pPr algn="ctr"/>
          <a:r>
            <a:rPr lang="en-US" sz="2000" b="1"/>
            <a:t>Side View</a:t>
          </a:r>
          <a:endParaRPr lang="en-US" b="1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2" Type="http://schemas.openxmlformats.org/officeDocument/2006/relationships/printerSettings" Target="../printerSettings/printerSettings1.bin"/><Relationship Id="rId16" Type="http://schemas.openxmlformats.org/officeDocument/2006/relationships/comments" Target="../comments1.xml"/><Relationship Id="rId1" Type="http://schemas.openxmlformats.org/officeDocument/2006/relationships/hyperlink" Target="http://newtonexcelbach.wordpress.com/2011/05/30/dynamically-defined-dancing-pendulums/" TargetMode="External"/><Relationship Id="rId6" Type="http://schemas.openxmlformats.org/officeDocument/2006/relationships/image" Target="../media/image1.emf"/><Relationship Id="rId11" Type="http://schemas.openxmlformats.org/officeDocument/2006/relationships/ctrlProp" Target="../ctrlProps/ctrlProp5.xml"/><Relationship Id="rId5" Type="http://schemas.openxmlformats.org/officeDocument/2006/relationships/control" Target="../activeX/activeX1.xml"/><Relationship Id="rId15" Type="http://schemas.openxmlformats.org/officeDocument/2006/relationships/ctrlProp" Target="../ctrlProps/ctrlProp9.xml"/><Relationship Id="rId10" Type="http://schemas.openxmlformats.org/officeDocument/2006/relationships/ctrlProp" Target="../ctrlProps/ctrlProp4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557"/>
  <sheetViews>
    <sheetView showGridLines="0" tabSelected="1" topLeftCell="E1" zoomScale="33" zoomScaleNormal="33" workbookViewId="0">
      <selection activeCell="AH8" sqref="AH8"/>
    </sheetView>
  </sheetViews>
  <sheetFormatPr defaultRowHeight="11.25"/>
  <cols>
    <col min="1" max="1" width="10.33203125" hidden="1" customWidth="1"/>
    <col min="2" max="2" width="9" hidden="1" customWidth="1"/>
    <col min="3" max="3" width="13.5" hidden="1" customWidth="1"/>
    <col min="4" max="4" width="0" hidden="1" customWidth="1"/>
    <col min="16" max="16" width="9.33203125" customWidth="1"/>
    <col min="22" max="22" width="14.5" customWidth="1"/>
    <col min="43" max="43" width="165.6640625" customWidth="1"/>
  </cols>
  <sheetData>
    <row r="1" spans="1:49" ht="11.25" customHeight="1">
      <c r="A1" s="9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</row>
    <row r="2" spans="1:49" ht="23.25">
      <c r="A2" s="12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</row>
    <row r="3" spans="1:49">
      <c r="A3" s="1" t="s">
        <v>0</v>
      </c>
      <c r="B3" s="1">
        <v>0.02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</row>
    <row r="4" spans="1:49" ht="61.5">
      <c r="A4" s="1" t="s">
        <v>1</v>
      </c>
      <c r="B4" s="1">
        <v>15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6"/>
      <c r="R4" s="1"/>
      <c r="S4" s="1"/>
      <c r="T4" s="17"/>
      <c r="U4" s="17"/>
      <c r="V4" s="17"/>
      <c r="W4" s="1"/>
      <c r="X4" s="1"/>
      <c r="Y4" s="1"/>
      <c r="Z4" s="1"/>
      <c r="AA4" s="17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</row>
    <row r="5" spans="1:49">
      <c r="A5" s="1" t="s">
        <v>2</v>
      </c>
      <c r="B5" s="1">
        <v>981.42</v>
      </c>
      <c r="C5" s="1"/>
      <c r="D5" s="1"/>
      <c r="E5" s="1"/>
      <c r="F5" s="1"/>
      <c r="G5" s="1"/>
      <c r="H5" s="1"/>
      <c r="I5" s="1"/>
      <c r="J5" s="1"/>
      <c r="K5" s="2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</row>
    <row r="6" spans="1:49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</row>
    <row r="7" spans="1:49" ht="28.5">
      <c r="A7" s="1" t="s">
        <v>3</v>
      </c>
      <c r="B7" s="1" t="b">
        <v>0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9" t="s">
        <v>4</v>
      </c>
      <c r="AH7" s="18" t="s">
        <v>5</v>
      </c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</row>
    <row r="8" spans="1:49" ht="28.5">
      <c r="A8" s="10" t="s">
        <v>6</v>
      </c>
      <c r="B8" s="11">
        <v>1</v>
      </c>
      <c r="C8" s="1"/>
      <c r="D8" s="1"/>
      <c r="E8" s="1"/>
      <c r="F8" s="15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9" t="s">
        <v>7</v>
      </c>
      <c r="AH8" s="25" t="s">
        <v>8</v>
      </c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</row>
    <row r="9" spans="1:49">
      <c r="A9" s="10" t="s">
        <v>9</v>
      </c>
      <c r="B9" s="11">
        <v>1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</row>
    <row r="10" spans="1:49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</row>
    <row r="11" spans="1:49" ht="26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24" t="s">
        <v>10</v>
      </c>
      <c r="V11" s="20">
        <v>0.02</v>
      </c>
      <c r="W11" s="21" t="s">
        <v>11</v>
      </c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</row>
    <row r="12" spans="1:49" ht="28.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24" t="s">
        <v>12</v>
      </c>
      <c r="V12" s="22">
        <v>30</v>
      </c>
      <c r="W12" s="21" t="s">
        <v>13</v>
      </c>
      <c r="X12" s="1"/>
      <c r="Y12" s="1"/>
      <c r="Z12" s="1"/>
      <c r="AA12" s="1"/>
      <c r="AB12" s="1"/>
      <c r="AC12" s="1"/>
      <c r="AD12" s="1"/>
      <c r="AE12" s="1"/>
      <c r="AF12" s="19"/>
      <c r="AG12" s="18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</row>
    <row r="13" spans="1:49" ht="30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24" t="s">
        <v>2</v>
      </c>
      <c r="V13" s="22">
        <f>B5</f>
        <v>981.42</v>
      </c>
      <c r="W13" s="21" t="s">
        <v>14</v>
      </c>
      <c r="X13" s="1"/>
      <c r="Y13" s="1"/>
      <c r="Z13" s="1"/>
      <c r="AA13" s="1"/>
      <c r="AB13" s="1"/>
      <c r="AC13" s="1"/>
      <c r="AD13" s="1"/>
      <c r="AE13" s="1"/>
      <c r="AF13" s="19"/>
      <c r="AG13" s="18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</row>
    <row r="14" spans="1:49" ht="26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24" t="s">
        <v>15</v>
      </c>
      <c r="V14" s="23">
        <v>15</v>
      </c>
      <c r="W14" s="21" t="s">
        <v>16</v>
      </c>
      <c r="X14" s="1"/>
      <c r="Y14" s="1"/>
      <c r="Z14" s="1"/>
      <c r="AA14" s="1"/>
      <c r="AB14" s="1"/>
      <c r="AC14" s="1"/>
      <c r="AD14" s="1"/>
      <c r="AE14" s="1"/>
      <c r="AF14" s="2"/>
      <c r="AG14" s="7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</row>
    <row r="15" spans="1:49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</row>
    <row r="16" spans="1:49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</row>
    <row r="17" spans="1:49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</row>
    <row r="18" spans="1:49">
      <c r="A18" s="5" t="s">
        <v>17</v>
      </c>
      <c r="B18" s="6" t="s">
        <v>18</v>
      </c>
      <c r="C18" s="5" t="s">
        <v>19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</row>
    <row r="19" spans="1:49">
      <c r="A19" s="3">
        <v>1</v>
      </c>
      <c r="B19" s="4">
        <v>60</v>
      </c>
      <c r="C19" s="13">
        <v>31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</row>
    <row r="20" spans="1:49">
      <c r="A20" s="3">
        <v>2</v>
      </c>
      <c r="B20" s="4">
        <f>$B$19*($C$19/C20)^2</f>
        <v>52.947658402203864</v>
      </c>
      <c r="C20" s="14">
        <v>33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</row>
    <row r="21" spans="1:49">
      <c r="A21" s="3">
        <v>3</v>
      </c>
      <c r="B21" s="4">
        <f>$B$19*($C$19/C21)^2</f>
        <v>47.069387755102042</v>
      </c>
      <c r="C21" s="3">
        <f>+C20+($C$20-$C$19)</f>
        <v>35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</row>
    <row r="22" spans="1:49">
      <c r="A22" s="3">
        <v>4</v>
      </c>
      <c r="B22" s="4">
        <f>$B$19*($C$19/C22)^2</f>
        <v>42.118334550766981</v>
      </c>
      <c r="C22" s="3">
        <f>+C21+($C$20-$C$19)</f>
        <v>37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</row>
    <row r="23" spans="1:49">
      <c r="A23" s="3">
        <v>5</v>
      </c>
      <c r="B23" s="4">
        <f>$B$19*($C$19/C23)^2</f>
        <v>37.909270216962518</v>
      </c>
      <c r="C23" s="3">
        <f>+C22+($C$20-$C$19)</f>
        <v>39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</row>
    <row r="24" spans="1:49">
      <c r="A24" s="3">
        <v>6</v>
      </c>
      <c r="B24" s="4">
        <f>$B$19*($C$19/C24)^2</f>
        <v>34.301011302795956</v>
      </c>
      <c r="C24" s="3">
        <f>+C23+($C$20-$C$19)</f>
        <v>41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</row>
    <row r="25" spans="1:49">
      <c r="A25" s="3">
        <v>7</v>
      </c>
      <c r="B25" s="4">
        <f>$B$19*($C$19/C25)^2</f>
        <v>31.184424012979981</v>
      </c>
      <c r="C25" s="3">
        <f>+C24+($C$20-$C$19)</f>
        <v>43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</row>
    <row r="26" spans="1:49">
      <c r="A26" s="3">
        <v>8</v>
      </c>
      <c r="B26" s="4">
        <f>$B$19*($C$19/C26)^2</f>
        <v>28.474074074074071</v>
      </c>
      <c r="C26" s="3">
        <f>+C25+($C$20-$C$19)</f>
        <v>45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</row>
    <row r="27" spans="1:49">
      <c r="A27" s="3">
        <v>9</v>
      </c>
      <c r="B27" s="4">
        <f>$B$19*($C$19/C27)^2</f>
        <v>26.102308736985059</v>
      </c>
      <c r="C27" s="3">
        <f>+C26+($C$20-$C$19)</f>
        <v>47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</row>
    <row r="28" spans="1:49" ht="11.25" customHeight="1">
      <c r="A28" s="3">
        <v>10</v>
      </c>
      <c r="B28" s="4">
        <f>$B$19*($C$19/C28)^2</f>
        <v>24.014993752603083</v>
      </c>
      <c r="C28" s="3">
        <f>+C27+($C$20-$C$19)</f>
        <v>49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24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</row>
    <row r="29" spans="1:49">
      <c r="A29" s="3">
        <v>11</v>
      </c>
      <c r="B29" s="4">
        <f>$B$19*($C$19/C29)^2</f>
        <v>22.168396770472889</v>
      </c>
      <c r="C29" s="3">
        <f>+C28+($C$20-$C$19)</f>
        <v>51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</row>
    <row r="30" spans="1:49">
      <c r="A30" s="3">
        <v>12</v>
      </c>
      <c r="B30" s="4">
        <f>$B$19*($C$19/C30)^2</f>
        <v>20.526877892488429</v>
      </c>
      <c r="C30" s="3">
        <f>+C29+($C$20-$C$19)</f>
        <v>53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</row>
    <row r="31" spans="1:49">
      <c r="A31" s="3">
        <v>13</v>
      </c>
      <c r="B31" s="4">
        <f>$B$19*($C$19/C31)^2</f>
        <v>19.061157024793388</v>
      </c>
      <c r="C31" s="3">
        <f>+C30+($C$20-$C$19)</f>
        <v>55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</row>
    <row r="32" spans="1:49">
      <c r="A32" s="3">
        <v>14</v>
      </c>
      <c r="B32" s="4">
        <f>$B$19*($C$19/C32)^2</f>
        <v>17.746999076638968</v>
      </c>
      <c r="C32" s="3">
        <f>+C31+($C$20-$C$19)</f>
        <v>57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</row>
    <row r="33" spans="1:49">
      <c r="A33" s="3">
        <v>15</v>
      </c>
      <c r="B33" s="4">
        <f>$B$19*($C$19/C33)^2</f>
        <v>16.564205688020685</v>
      </c>
      <c r="C33" s="3">
        <f>+C32+($C$20-$C$19)</f>
        <v>59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</row>
    <row r="34" spans="1:49">
      <c r="A34" s="3">
        <v>16</v>
      </c>
      <c r="B34" s="4">
        <f>$B$19*($C$19/C34)^2</f>
        <v>15.495834453104004</v>
      </c>
      <c r="C34" s="3">
        <f>+C33+($C$20-$C$19)</f>
        <v>61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</row>
    <row r="35" spans="1:49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</row>
    <row r="36" spans="1:49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</row>
    <row r="37" spans="1:49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</row>
    <row r="38" spans="1:49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</row>
    <row r="39" spans="1:49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</row>
    <row r="40" spans="1:49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</row>
    <row r="41" spans="1:49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</row>
    <row r="42" spans="1:49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</row>
    <row r="43" spans="1:49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</row>
    <row r="44" spans="1:49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</row>
    <row r="45" spans="1:49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</row>
    <row r="46" spans="1:49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</row>
    <row r="47" spans="1:49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</row>
    <row r="48" spans="1:49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</row>
    <row r="49" spans="1:49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</row>
    <row r="50" spans="1:49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</row>
    <row r="51" spans="1:49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</row>
    <row r="52" spans="1:49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</row>
    <row r="53" spans="1:49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</row>
    <row r="54" spans="1:49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</row>
    <row r="55" spans="1:49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</row>
    <row r="56" spans="1:49" ht="12.75">
      <c r="A56" s="1"/>
      <c r="B56" s="1"/>
      <c r="C56" s="1"/>
      <c r="D56" s="1"/>
      <c r="E56" s="1"/>
      <c r="F56" s="1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</row>
    <row r="57" spans="1:49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</row>
    <row r="58" spans="1:49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</row>
    <row r="59" spans="1:49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</row>
    <row r="60" spans="1:49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</row>
    <row r="61" spans="1:49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</row>
    <row r="62" spans="1:49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</row>
    <row r="63" spans="1:49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</row>
    <row r="64" spans="1:49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</row>
    <row r="65" spans="1:49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</row>
    <row r="66" spans="1:49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</row>
    <row r="67" spans="1:49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</row>
    <row r="68" spans="1:49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</row>
    <row r="69" spans="1:49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</row>
    <row r="70" spans="1:49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</row>
    <row r="71" spans="1:49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</row>
    <row r="72" spans="1:49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</row>
    <row r="73" spans="1:49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</row>
    <row r="74" spans="1:49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</row>
    <row r="75" spans="1:49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</row>
    <row r="76" spans="1:49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</row>
    <row r="77" spans="1:49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</row>
    <row r="78" spans="1:49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</row>
    <row r="79" spans="1:49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</row>
    <row r="80" spans="1:49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</row>
    <row r="81" spans="1:49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</row>
    <row r="82" spans="1:49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</row>
    <row r="83" spans="1:49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</row>
    <row r="84" spans="1:49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</row>
    <row r="85" spans="1:49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</row>
    <row r="86" spans="1:49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</row>
    <row r="87" spans="1:49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</row>
    <row r="88" spans="1:49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</row>
    <row r="89" spans="1:49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</row>
    <row r="90" spans="1:49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</row>
    <row r="91" spans="1:49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</row>
    <row r="92" spans="1:49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</row>
    <row r="93" spans="1:49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</row>
    <row r="94" spans="1:49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</row>
    <row r="95" spans="1:49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</row>
    <row r="96" spans="1:49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</row>
    <row r="97" spans="1:49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</row>
    <row r="98" spans="1:49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</row>
    <row r="99" spans="1:49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</row>
    <row r="100" spans="1:49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</row>
    <row r="101" spans="1:49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</row>
    <row r="102" spans="1:49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</row>
    <row r="103" spans="1:49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</row>
    <row r="104" spans="1:49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</row>
    <row r="105" spans="1:49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</row>
    <row r="106" spans="1:49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</row>
    <row r="107" spans="1:49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</row>
    <row r="108" spans="1:49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</row>
    <row r="109" spans="1:49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</row>
    <row r="110" spans="1:49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</row>
    <row r="111" spans="1:49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</row>
    <row r="112" spans="1:49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</row>
    <row r="113" spans="1:49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</row>
    <row r="114" spans="1:49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</row>
    <row r="115" spans="1:49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</row>
    <row r="116" spans="1:49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</row>
    <row r="117" spans="1:49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</row>
    <row r="118" spans="1:49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</row>
    <row r="119" spans="1:49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</row>
    <row r="120" spans="1:49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</row>
    <row r="121" spans="1:49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</row>
    <row r="122" spans="1:49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</row>
    <row r="123" spans="1:49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</row>
    <row r="124" spans="1:49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</row>
    <row r="125" spans="1:49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</row>
    <row r="126" spans="1:49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</row>
    <row r="127" spans="1:49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</row>
    <row r="128" spans="1:49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</row>
    <row r="129" spans="1:49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</row>
    <row r="130" spans="1:49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</row>
    <row r="131" spans="1:49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</row>
    <row r="132" spans="1:49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</row>
    <row r="133" spans="1:49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</row>
    <row r="134" spans="1:49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</row>
    <row r="135" spans="1:49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</row>
    <row r="136" spans="1:49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</row>
    <row r="137" spans="1:49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</row>
    <row r="138" spans="1:49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</row>
    <row r="139" spans="1:49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</row>
    <row r="140" spans="1:49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</row>
    <row r="141" spans="1:49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</row>
    <row r="142" spans="1:49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</row>
    <row r="143" spans="1:49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</row>
    <row r="144" spans="1:49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</row>
    <row r="145" spans="1:49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</row>
    <row r="146" spans="1:49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</row>
    <row r="147" spans="1:49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</row>
    <row r="148" spans="1:49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</row>
    <row r="149" spans="1:49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</row>
    <row r="150" spans="1:49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</row>
    <row r="151" spans="1:49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</row>
    <row r="152" spans="1:49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</row>
    <row r="153" spans="1:49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</row>
    <row r="154" spans="1:49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</row>
    <row r="155" spans="1:49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</row>
    <row r="156" spans="1:49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</row>
    <row r="157" spans="1:49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</row>
    <row r="158" spans="1:49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</row>
    <row r="159" spans="1:49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</row>
    <row r="160" spans="1:49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</row>
    <row r="161" spans="1:49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</row>
    <row r="162" spans="1:49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</row>
    <row r="163" spans="1:49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</row>
    <row r="164" spans="1:49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</row>
    <row r="165" spans="1:49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</row>
    <row r="166" spans="1:49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</row>
    <row r="167" spans="1:49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</row>
    <row r="168" spans="1:49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</row>
    <row r="169" spans="1:49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</row>
    <row r="170" spans="1:49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</row>
    <row r="171" spans="1:49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</row>
    <row r="172" spans="1:49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</row>
    <row r="173" spans="1:49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</row>
    <row r="174" spans="1:49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</row>
    <row r="175" spans="1:49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</row>
    <row r="176" spans="1:49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</row>
    <row r="177" spans="1:49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</row>
    <row r="178" spans="1:49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</row>
    <row r="179" spans="1:49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</row>
    <row r="180" spans="1:49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</row>
    <row r="181" spans="1:49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</row>
    <row r="182" spans="1:49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</row>
    <row r="183" spans="1:49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</row>
    <row r="184" spans="1:49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</row>
    <row r="185" spans="1:49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</row>
    <row r="186" spans="1:49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</row>
    <row r="187" spans="1:49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</row>
    <row r="188" spans="1:49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</row>
    <row r="189" spans="1:49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</row>
    <row r="190" spans="1:49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</row>
    <row r="191" spans="1:49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</row>
    <row r="192" spans="1:49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</row>
    <row r="193" spans="1:49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</row>
    <row r="194" spans="1:49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</row>
    <row r="195" spans="1:49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</row>
    <row r="196" spans="1:49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</row>
    <row r="197" spans="1:49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</row>
    <row r="198" spans="1:49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</row>
    <row r="199" spans="1:49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</row>
    <row r="200" spans="1:49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</row>
    <row r="201" spans="1:49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</row>
    <row r="202" spans="1:49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</row>
    <row r="203" spans="1:49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</row>
    <row r="204" spans="1:49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</row>
    <row r="205" spans="1:49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</row>
    <row r="206" spans="1:49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</row>
    <row r="207" spans="1:49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</row>
    <row r="208" spans="1:49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</row>
    <row r="209" spans="1:49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</row>
    <row r="210" spans="1:49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</row>
    <row r="211" spans="1:49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</row>
    <row r="212" spans="1:49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</row>
    <row r="213" spans="1:49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</row>
    <row r="214" spans="1:49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</row>
    <row r="215" spans="1:49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</row>
    <row r="216" spans="1:49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</row>
    <row r="217" spans="1:49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</row>
    <row r="218" spans="1:49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</row>
    <row r="219" spans="1:49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</row>
    <row r="220" spans="1:49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</row>
    <row r="221" spans="1:49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</row>
    <row r="222" spans="1:49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</row>
    <row r="223" spans="1:49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</row>
    <row r="224" spans="1:49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</row>
    <row r="225" spans="1:49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</row>
    <row r="226" spans="1:49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</row>
    <row r="227" spans="1:49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</row>
    <row r="228" spans="1:49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</row>
    <row r="229" spans="1:49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</row>
    <row r="230" spans="1:49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</row>
    <row r="231" spans="1:49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</row>
    <row r="232" spans="1:49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</row>
    <row r="233" spans="1:49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</row>
    <row r="234" spans="1:49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</row>
    <row r="235" spans="1:49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</row>
    <row r="236" spans="1:49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</row>
    <row r="237" spans="1:49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</row>
    <row r="238" spans="1:49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</row>
    <row r="239" spans="1:49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</row>
    <row r="240" spans="1:49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</row>
    <row r="241" spans="1:49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</row>
    <row r="242" spans="1:49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</row>
    <row r="243" spans="1:49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</row>
    <row r="244" spans="1:49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</row>
    <row r="245" spans="1:49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</row>
    <row r="246" spans="1:49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</row>
    <row r="247" spans="1:49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</row>
    <row r="248" spans="1:49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</row>
    <row r="249" spans="1:49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</row>
    <row r="250" spans="1:49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</row>
    <row r="251" spans="1:49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</row>
    <row r="252" spans="1:49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</row>
    <row r="253" spans="1:49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</row>
    <row r="254" spans="1:49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</row>
    <row r="255" spans="1:49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</row>
    <row r="256" spans="1:49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</row>
    <row r="257" spans="1:49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</row>
    <row r="258" spans="1:49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</row>
    <row r="259" spans="1:49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</row>
    <row r="260" spans="1:49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</row>
    <row r="261" spans="1:49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</row>
    <row r="262" spans="1:49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</row>
    <row r="263" spans="1:49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</row>
    <row r="264" spans="1:49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</row>
    <row r="265" spans="1:49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</row>
    <row r="266" spans="1:49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</row>
    <row r="267" spans="1:49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</row>
    <row r="268" spans="1:49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</row>
    <row r="269" spans="1:49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</row>
    <row r="270" spans="1:49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</row>
    <row r="271" spans="1:49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</row>
    <row r="272" spans="1:49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</row>
    <row r="273" spans="1:49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</row>
    <row r="274" spans="1:49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</row>
    <row r="275" spans="1:49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</row>
    <row r="276" spans="1:49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</row>
    <row r="277" spans="1:49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</row>
    <row r="278" spans="1:49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</row>
    <row r="279" spans="1:49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</row>
    <row r="280" spans="1:49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</row>
    <row r="281" spans="1:49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</row>
    <row r="282" spans="1:49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</row>
    <row r="283" spans="1:49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</row>
    <row r="284" spans="1:49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</row>
    <row r="285" spans="1:49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</row>
    <row r="286" spans="1:49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</row>
    <row r="287" spans="1:49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</row>
    <row r="288" spans="1:49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</row>
    <row r="289" spans="1:49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</row>
    <row r="290" spans="1:49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</row>
    <row r="291" spans="1:49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</row>
    <row r="292" spans="1:49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</row>
    <row r="293" spans="1:49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</row>
    <row r="294" spans="1:49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</row>
    <row r="295" spans="1:49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</row>
    <row r="296" spans="1:49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</row>
    <row r="297" spans="1:49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</row>
    <row r="298" spans="1:49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</row>
    <row r="299" spans="1:49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</row>
    <row r="300" spans="1:49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</row>
    <row r="301" spans="1:49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</row>
    <row r="302" spans="1:49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</row>
    <row r="303" spans="1:49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</row>
    <row r="304" spans="1:49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</row>
    <row r="305" spans="1:49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</row>
    <row r="306" spans="1:49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</row>
    <row r="307" spans="1:49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</row>
    <row r="308" spans="1:49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</row>
    <row r="309" spans="1:49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</row>
    <row r="310" spans="1:49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</row>
    <row r="311" spans="1:49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</row>
    <row r="312" spans="1:49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</row>
    <row r="313" spans="1:49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</row>
    <row r="314" spans="1:49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</row>
    <row r="315" spans="1:49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</row>
    <row r="316" spans="1:49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</row>
    <row r="317" spans="1:49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</row>
    <row r="318" spans="1:49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</row>
    <row r="319" spans="1:49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</row>
    <row r="320" spans="1:49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</row>
    <row r="321" spans="1:49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</row>
    <row r="322" spans="1:49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</row>
    <row r="323" spans="1:49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</row>
    <row r="324" spans="1:49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</row>
    <row r="325" spans="1:49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</row>
    <row r="326" spans="1:49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</row>
    <row r="327" spans="1:49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</row>
    <row r="328" spans="1:49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</row>
    <row r="329" spans="1:49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</row>
    <row r="330" spans="1:49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</row>
    <row r="331" spans="1:49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</row>
    <row r="332" spans="1:49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</row>
    <row r="333" spans="1:49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</row>
    <row r="334" spans="1:49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</row>
    <row r="335" spans="1:49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</row>
    <row r="336" spans="1:49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</row>
    <row r="337" spans="1:49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</row>
    <row r="338" spans="1:49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</row>
    <row r="339" spans="1:49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</row>
    <row r="340" spans="1:49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</row>
    <row r="341" spans="1:49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</row>
    <row r="342" spans="1:49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</row>
    <row r="343" spans="1:49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</row>
    <row r="344" spans="1:49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</row>
    <row r="345" spans="1:49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</row>
    <row r="346" spans="1:49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</row>
    <row r="347" spans="1:49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</row>
    <row r="348" spans="1:49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</row>
    <row r="349" spans="1:49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</row>
    <row r="350" spans="1:49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</row>
    <row r="351" spans="1:49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</row>
    <row r="352" spans="1:49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</row>
    <row r="353" spans="1:49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</row>
    <row r="354" spans="1:49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</row>
    <row r="355" spans="1:49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</row>
    <row r="356" spans="1:49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</row>
    <row r="357" spans="1:49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</row>
    <row r="358" spans="1:49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</row>
    <row r="359" spans="1:49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</row>
    <row r="360" spans="1:49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</row>
    <row r="361" spans="1:49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</row>
    <row r="362" spans="1:49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</row>
    <row r="363" spans="1:49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</row>
    <row r="364" spans="1:49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</row>
    <row r="365" spans="1:49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</row>
    <row r="366" spans="1:49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</row>
    <row r="367" spans="1:49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</row>
    <row r="368" spans="1:49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</row>
    <row r="369" spans="1:49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</row>
    <row r="370" spans="1:49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</row>
    <row r="371" spans="1:49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</row>
    <row r="372" spans="1:49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</row>
    <row r="373" spans="1:49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</row>
    <row r="374" spans="1:49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</row>
    <row r="375" spans="1:49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</row>
    <row r="376" spans="1:49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</row>
    <row r="377" spans="1:49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</row>
    <row r="378" spans="1:49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</row>
    <row r="379" spans="1:49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</row>
    <row r="380" spans="1:49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</row>
    <row r="381" spans="1:49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</row>
    <row r="382" spans="1:49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</row>
    <row r="383" spans="1:49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</row>
    <row r="384" spans="1:49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</row>
    <row r="385" spans="1:49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</row>
    <row r="386" spans="1:49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</row>
    <row r="387" spans="1:49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</row>
    <row r="388" spans="1:49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</row>
    <row r="389" spans="1:49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</row>
    <row r="390" spans="1:49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</row>
    <row r="391" spans="1:49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</row>
    <row r="392" spans="1:49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</row>
    <row r="393" spans="1:49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</row>
    <row r="394" spans="1:49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</row>
    <row r="395" spans="1:49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</row>
    <row r="396" spans="1:49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</row>
    <row r="397" spans="1:49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</row>
    <row r="398" spans="1:49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</row>
    <row r="399" spans="1:49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</row>
    <row r="400" spans="1:49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</row>
    <row r="401" spans="1:49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</row>
    <row r="402" spans="1:49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</row>
    <row r="403" spans="1:49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</row>
    <row r="404" spans="1:49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</row>
    <row r="405" spans="1:49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</row>
    <row r="406" spans="1:49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</row>
    <row r="407" spans="1:49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</row>
    <row r="408" spans="1:49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</row>
    <row r="409" spans="1:49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</row>
    <row r="410" spans="1:49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</row>
    <row r="411" spans="1:49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</row>
    <row r="412" spans="1:49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</row>
    <row r="413" spans="1:49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</row>
    <row r="414" spans="1:49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</row>
    <row r="415" spans="1:49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</row>
    <row r="416" spans="1:49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</row>
    <row r="417" spans="1:49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</row>
    <row r="418" spans="1:49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</row>
    <row r="419" spans="1:49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</row>
    <row r="420" spans="1:49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</row>
    <row r="421" spans="1:49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</row>
    <row r="422" spans="1:49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</row>
    <row r="423" spans="1:49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</row>
    <row r="424" spans="1:49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</row>
    <row r="425" spans="1:49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</row>
    <row r="426" spans="1:49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</row>
    <row r="427" spans="1:49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</row>
    <row r="428" spans="1:49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</row>
    <row r="429" spans="1:49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</row>
    <row r="430" spans="1:49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</row>
    <row r="431" spans="1:49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</row>
    <row r="432" spans="1:49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</row>
    <row r="433" spans="1:49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</row>
    <row r="434" spans="1:49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</row>
    <row r="435" spans="1:49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</row>
    <row r="436" spans="1:49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</row>
    <row r="437" spans="1:49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</row>
    <row r="438" spans="1:49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</row>
    <row r="439" spans="1:49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</row>
    <row r="440" spans="1:49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</row>
    <row r="441" spans="1:49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</row>
    <row r="442" spans="1:49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</row>
    <row r="443" spans="1:49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</row>
    <row r="444" spans="1:49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</row>
    <row r="445" spans="1:49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</row>
    <row r="446" spans="1:49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</row>
    <row r="447" spans="1:49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</row>
    <row r="448" spans="1:49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</row>
    <row r="449" spans="1:49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</row>
    <row r="450" spans="1:49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</row>
    <row r="451" spans="1:49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</row>
    <row r="452" spans="1:49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</row>
    <row r="453" spans="1:49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</row>
    <row r="454" spans="1:49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</row>
    <row r="455" spans="1:49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</row>
    <row r="456" spans="1:49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</row>
    <row r="457" spans="1:49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</row>
    <row r="458" spans="1:49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</row>
    <row r="459" spans="1:49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</row>
    <row r="460" spans="1:49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</row>
    <row r="461" spans="1:49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</row>
    <row r="462" spans="1:49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</row>
    <row r="463" spans="1:49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</row>
    <row r="464" spans="1:49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</row>
    <row r="465" spans="1:49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</row>
    <row r="466" spans="1:49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</row>
    <row r="467" spans="1:49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</row>
    <row r="468" spans="1:49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</row>
    <row r="469" spans="1:49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</row>
    <row r="470" spans="1:49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</row>
    <row r="471" spans="1:49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</row>
    <row r="472" spans="1:49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</row>
    <row r="473" spans="1:49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</row>
    <row r="474" spans="1:49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</row>
    <row r="475" spans="1:49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</row>
    <row r="476" spans="1:49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</row>
    <row r="477" spans="1:49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</row>
    <row r="478" spans="1:49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</row>
    <row r="479" spans="1:49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</row>
    <row r="480" spans="1:49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</row>
    <row r="481" spans="1:49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</row>
    <row r="482" spans="1:49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</row>
    <row r="483" spans="1:49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</row>
    <row r="484" spans="1:49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</row>
    <row r="485" spans="1:49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</row>
    <row r="486" spans="1:49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</row>
    <row r="487" spans="1:49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</row>
    <row r="488" spans="1:49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</row>
    <row r="489" spans="1:49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</row>
    <row r="490" spans="1:49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</row>
    <row r="491" spans="1:49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</row>
    <row r="492" spans="1:49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</row>
    <row r="493" spans="1:49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</row>
    <row r="494" spans="1:49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</row>
    <row r="495" spans="1:49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</row>
    <row r="496" spans="1:49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</row>
    <row r="497" spans="1:49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</row>
    <row r="498" spans="1:49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</row>
    <row r="499" spans="1:49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</row>
    <row r="500" spans="1:49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</row>
    <row r="501" spans="1:49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</row>
    <row r="502" spans="1:49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</row>
    <row r="503" spans="1:49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</row>
    <row r="504" spans="1:49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</row>
    <row r="505" spans="1:49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</row>
    <row r="506" spans="1:49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</row>
    <row r="507" spans="1:49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</row>
    <row r="508" spans="1:49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</row>
    <row r="509" spans="1:49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</row>
    <row r="510" spans="1:49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</row>
    <row r="511" spans="1:49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</row>
    <row r="512" spans="1:49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</row>
    <row r="513" spans="1:49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</row>
    <row r="514" spans="1:49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</row>
    <row r="515" spans="1:49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</row>
    <row r="516" spans="1:49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</row>
    <row r="517" spans="1:49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</row>
    <row r="518" spans="1:49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</row>
    <row r="519" spans="1:49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</row>
    <row r="520" spans="1:49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</row>
    <row r="521" spans="1:49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</row>
    <row r="522" spans="1:49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</row>
    <row r="523" spans="1:49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</row>
    <row r="524" spans="1:49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</row>
    <row r="525" spans="1:49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</row>
    <row r="526" spans="1:49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</row>
    <row r="527" spans="1:49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</row>
    <row r="528" spans="1:49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</row>
    <row r="529" spans="1:49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</row>
    <row r="530" spans="1:49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</row>
    <row r="531" spans="1:49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</row>
    <row r="532" spans="1:49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</row>
    <row r="533" spans="1:49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</row>
    <row r="534" spans="1:49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</row>
    <row r="535" spans="1:49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</row>
    <row r="536" spans="1:49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</row>
    <row r="537" spans="1:49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</row>
    <row r="538" spans="1:49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</row>
    <row r="539" spans="1:49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</row>
    <row r="540" spans="1:49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</row>
    <row r="541" spans="1:49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</row>
    <row r="542" spans="1:49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</row>
    <row r="543" spans="1:49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</row>
    <row r="544" spans="1:49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</row>
    <row r="545" spans="1:49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</row>
    <row r="546" spans="1:49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</row>
    <row r="547" spans="1:49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</row>
    <row r="548" spans="1:49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</row>
    <row r="549" spans="1:49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</row>
    <row r="550" spans="1:49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</row>
    <row r="551" spans="1:49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</row>
    <row r="552" spans="1:49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</row>
    <row r="553" spans="1:49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</row>
    <row r="554" spans="1:49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</row>
    <row r="555" spans="1:49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</row>
    <row r="556" spans="1:49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</row>
    <row r="557" spans="1:49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</row>
  </sheetData>
  <hyperlinks>
    <hyperlink ref="AH8" r:id="rId1" display="Newtonexcelbach" xr:uid="{00000000-0004-0000-0000-000000000000}"/>
  </hyperlinks>
  <pageMargins left="0.7" right="0.7" top="0.75" bottom="0.75" header="0.3" footer="0.3"/>
  <pageSetup paperSize="9" orientation="portrait" verticalDpi="0" r:id="rId2"/>
  <drawing r:id="rId3"/>
  <legacyDrawing r:id="rId4"/>
  <controls>
    <mc:AlternateContent xmlns:mc="http://schemas.openxmlformats.org/markup-compatibility/2006">
      <mc:Choice Requires="x14">
        <control shapeId="1027" r:id="rId5" name="ScrollBar1">
          <controlPr defaultSize="0" autoFill="0" autoLine="0" linkedCell="B5" r:id="rId6">
            <anchor moveWithCells="1">
              <from>
                <xdr:col>26</xdr:col>
                <xdr:colOff>289282</xdr:colOff>
                <xdr:row>22</xdr:row>
                <xdr:rowOff>92294</xdr:rowOff>
              </from>
              <to>
                <xdr:col>33</xdr:col>
                <xdr:colOff>18760</xdr:colOff>
                <xdr:row>25</xdr:row>
                <xdr:rowOff>6350</xdr:rowOff>
              </to>
            </anchor>
          </controlPr>
        </control>
      </mc:Choice>
      <mc:Fallback>
        <control shapeId="1027" r:id="rId5" name="ScrollBar1"/>
      </mc:Fallback>
    </mc:AlternateContent>
    <mc:AlternateContent xmlns:mc="http://schemas.openxmlformats.org/markup-compatibility/2006">
      <mc:Choice Requires="x14">
        <control shapeId="1040" r:id="rId7" name="Option Button 16">
          <controlPr defaultSize="0" autoFill="0" autoLine="0" autoPict="0" macro="[0]!SetWires">
            <anchor moveWithCells="1">
              <from>
                <xdr:col>21</xdr:col>
                <xdr:colOff>141547</xdr:colOff>
                <xdr:row>30</xdr:row>
                <xdr:rowOff>50911</xdr:rowOff>
              </from>
              <to>
                <xdr:col>24</xdr:col>
                <xdr:colOff>465265</xdr:colOff>
                <xdr:row>32</xdr:row>
                <xdr:rowOff>25209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8" name="Option Button 17">
          <controlPr defaultSize="0" autoFill="0" autoLine="0" autoPict="0" macro="[0]!SetWires">
            <anchor moveWithCells="1">
              <from>
                <xdr:col>21</xdr:col>
                <xdr:colOff>141547</xdr:colOff>
                <xdr:row>31</xdr:row>
                <xdr:rowOff>132213</xdr:rowOff>
              </from>
              <to>
                <xdr:col>24</xdr:col>
                <xdr:colOff>465265</xdr:colOff>
                <xdr:row>33</xdr:row>
                <xdr:rowOff>119063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9" name="Option Button 18">
          <controlPr defaultSize="0" autoFill="0" autoLine="0" autoPict="0" macro="[0]!SetWires">
            <anchor moveWithCells="1">
              <from>
                <xdr:col>21</xdr:col>
                <xdr:colOff>141547</xdr:colOff>
                <xdr:row>33</xdr:row>
                <xdr:rowOff>93956</xdr:rowOff>
              </from>
              <to>
                <xdr:col>24</xdr:col>
                <xdr:colOff>465265</xdr:colOff>
                <xdr:row>35</xdr:row>
                <xdr:rowOff>82597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10" name="Group Box 19">
          <controlPr defaultSize="0" autoFill="0" autoPict="0">
            <anchor moveWithCells="1">
              <from>
                <xdr:col>21</xdr:col>
                <xdr:colOff>120609</xdr:colOff>
                <xdr:row>29</xdr:row>
                <xdr:rowOff>93355</xdr:rowOff>
              </from>
              <to>
                <xdr:col>24</xdr:col>
                <xdr:colOff>507134</xdr:colOff>
                <xdr:row>35</xdr:row>
                <xdr:rowOff>107706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1" name="Group Box 9">
          <controlPr defaultSize="0" autoFill="0" autoPict="0">
            <anchor moveWithCells="1">
              <from>
                <xdr:col>21</xdr:col>
                <xdr:colOff>390525</xdr:colOff>
                <xdr:row>19</xdr:row>
                <xdr:rowOff>104775</xdr:rowOff>
              </from>
              <to>
                <xdr:col>25</xdr:col>
                <xdr:colOff>257175</xdr:colOff>
                <xdr:row>26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0" r:id="rId12" name="Option Button 26">
          <controlPr defaultSize="0" autoFill="0" autoLine="0" autoPict="0" macro="[0]!Set_Pendulum_Colors">
            <anchor moveWithCells="1">
              <from>
                <xdr:col>21</xdr:col>
                <xdr:colOff>457200</xdr:colOff>
                <xdr:row>20</xdr:row>
                <xdr:rowOff>28575</xdr:rowOff>
              </from>
              <to>
                <xdr:col>25</xdr:col>
                <xdr:colOff>238125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1" r:id="rId13" name="Option Button 27">
          <controlPr defaultSize="0" autoFill="0" autoLine="0" autoPict="0" macro="[0]!Set_Pendulum_Colors">
            <anchor moveWithCells="1">
              <from>
                <xdr:col>21</xdr:col>
                <xdr:colOff>457200</xdr:colOff>
                <xdr:row>21</xdr:row>
                <xdr:rowOff>95250</xdr:rowOff>
              </from>
              <to>
                <xdr:col>25</xdr:col>
                <xdr:colOff>238125</xdr:colOff>
                <xdr:row>23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2" r:id="rId14" name="Option Button 28">
          <controlPr defaultSize="0" autoFill="0" autoLine="0" autoPict="0" macro="[0]!Set_Pendulum_Colors">
            <anchor moveWithCells="1">
              <from>
                <xdr:col>21</xdr:col>
                <xdr:colOff>457200</xdr:colOff>
                <xdr:row>23</xdr:row>
                <xdr:rowOff>28575</xdr:rowOff>
              </from>
              <to>
                <xdr:col>25</xdr:col>
                <xdr:colOff>238125</xdr:colOff>
                <xdr:row>24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3" r:id="rId15" name="Option Button 29">
          <controlPr defaultSize="0" autoFill="0" autoLine="0" autoPict="0" macro="[0]!Set_Pendulum_Colors">
            <anchor moveWithCells="1">
              <from>
                <xdr:col>21</xdr:col>
                <xdr:colOff>457200</xdr:colOff>
                <xdr:row>24</xdr:row>
                <xdr:rowOff>95250</xdr:rowOff>
              </from>
              <to>
                <xdr:col>25</xdr:col>
                <xdr:colOff>238125</xdr:colOff>
                <xdr:row>26</xdr:row>
                <xdr:rowOff>19050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Ian Huitson</dc:creator>
  <cp:keywords/>
  <dc:description/>
  <cp:lastModifiedBy>User Cyber Essentials</cp:lastModifiedBy>
  <cp:revision/>
  <dcterms:created xsi:type="dcterms:W3CDTF">2011-05-31T00:44:18Z</dcterms:created>
  <dcterms:modified xsi:type="dcterms:W3CDTF">2021-11-18T17:40:16Z</dcterms:modified>
  <cp:category/>
  <cp:contentStatus/>
</cp:coreProperties>
</file>